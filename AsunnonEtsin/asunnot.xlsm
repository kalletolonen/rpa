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pa_dev\AsunnonEtsin\"/>
    </mc:Choice>
  </mc:AlternateContent>
  <xr:revisionPtr revIDLastSave="0" documentId="13_ncr:1_{B33B4BB1-439D-4036-BA06-5786C3B4DEAB}" xr6:coauthVersionLast="47" xr6:coauthVersionMax="47" xr10:uidLastSave="{00000000-0000-0000-0000-000000000000}"/>
  <bookViews>
    <workbookView xWindow="2530" yWindow="1300" windowWidth="28800" windowHeight="15370" activeTab="3" xr2:uid="{985683DA-2B21-4ED2-AAC5-10D9CCBE272D}"/>
  </bookViews>
  <sheets>
    <sheet name="Sheet1" sheetId="1" r:id="rId1"/>
    <sheet name="Kaarina, 18.05 10.22.23" sheetId="2" r:id="rId2"/>
    <sheet name="Turku, 18.05 10.32.18" sheetId="3" r:id="rId3"/>
    <sheet name="Lieto, 18.05 10.37.43" sheetId="4" r:id="rId4"/>
  </sheets>
  <definedNames>
    <definedName name="_xlnm._FilterDatabase" localSheetId="1" hidden="1">'Kaarina, 18.05 10.22.23'!$A$1:$I$101</definedName>
    <definedName name="_xlnm._FilterDatabase" localSheetId="3" hidden="1">'Lieto, 18.05 10.37.43'!$A$1:$I$101</definedName>
    <definedName name="_xlnm._FilterDatabase" localSheetId="0" hidden="1">Sheet1!$A$1:$I$101</definedName>
    <definedName name="_xlnm._FilterDatabase" localSheetId="2" hidden="1">'Turku, 18.05 10.32.18'!$A$1:$I$101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4" l="1"/>
  <c r="J2" i="4"/>
  <c r="K2" i="1"/>
  <c r="J2" i="1"/>
  <c r="K2" i="3"/>
  <c r="J2" i="3"/>
  <c r="K2" i="2"/>
  <c r="J2" i="2"/>
</calcChain>
</file>

<file path=xl/sharedStrings.xml><?xml version="1.0" encoding="utf-8"?>
<sst xmlns="http://schemas.openxmlformats.org/spreadsheetml/2006/main" count="569" uniqueCount="256">
  <si>
    <t>Postinumero</t>
  </si>
  <si>
    <t>Linkki</t>
  </si>
  <si>
    <t>Rakennusvuosi</t>
  </si>
  <si>
    <t>Osoite</t>
  </si>
  <si>
    <t>Neliohinta</t>
  </si>
  <si>
    <t>Keskiarvo</t>
  </si>
  <si>
    <t>Mediaani</t>
  </si>
  <si>
    <t>Haettu asuntotyyppi</t>
  </si>
  <si>
    <t>Ero alueeseen</t>
  </si>
  <si>
    <t>Minimikoko</t>
  </si>
  <si>
    <t>Huoneet</t>
  </si>
  <si>
    <t>https://asunnot.oikotie.fi/myytavat-asunnot/kaarina/16780740</t>
  </si>
  <si>
    <t>https://asunnot.oikotie.fi/myytavat-asunnot/kaarina/16096575</t>
  </si>
  <si>
    <t xml:space="preserve">Helsingintie </t>
  </si>
  <si>
    <t>21500</t>
  </si>
  <si>
    <t xml:space="preserve">Kartanontie </t>
  </si>
  <si>
    <t>20780</t>
  </si>
  <si>
    <t>1963</t>
  </si>
  <si>
    <t>2021</t>
  </si>
  <si>
    <t>Kerrostalo</t>
  </si>
  <si>
    <t>80</t>
  </si>
  <si>
    <t/>
  </si>
  <si>
    <t>Hinta</t>
  </si>
  <si>
    <t>Pinta-ala</t>
  </si>
  <si>
    <t>Alueen neliohinta</t>
  </si>
  <si>
    <t>5467</t>
  </si>
  <si>
    <t>0</t>
  </si>
  <si>
    <t>Infinity</t>
  </si>
  <si>
    <t>https://asunnot.oikotie.fi/myytavat-asunnot/turku/16839334</t>
  </si>
  <si>
    <t>https://asunnot.oikotie.fi/myytavat-asunnot/turku/16838297</t>
  </si>
  <si>
    <t>https://asunnot.oikotie.fi/myytavat-asunnot/turku/16837687</t>
  </si>
  <si>
    <t>https://asunnot.oikotie.fi/myytavat-asunnot/turku/16834542</t>
  </si>
  <si>
    <t>https://asunnot.oikotie.fi/myytavat-asunnot/turku/16834303</t>
  </si>
  <si>
    <t>https://asunnot.oikotie.fi/myytavat-asunnot/turku/16833056</t>
  </si>
  <si>
    <t>https://asunnot.oikotie.fi/myytavat-asunnot/turku/16832560</t>
  </si>
  <si>
    <t>https://asunnot.oikotie.fi/myytavat-asunnot/turku/16647211</t>
  </si>
  <si>
    <t>https://asunnot.oikotie.fi/myytavat-asunnot/turku/16829258</t>
  </si>
  <si>
    <t>https://asunnot.oikotie.fi/myytavat-asunnot/turku/16827092</t>
  </si>
  <si>
    <t>https://asunnot.oikotie.fi/myytavat-asunnot/turku/16826841</t>
  </si>
  <si>
    <t>https://asunnot.oikotie.fi/myytavat-asunnot/turku/16826654</t>
  </si>
  <si>
    <t>https://asunnot.oikotie.fi/myytavat-asunnot/turku/16824944</t>
  </si>
  <si>
    <t>https://asunnot.oikotie.fi/myytavat-asunnot/turku/16824092</t>
  </si>
  <si>
    <t>https://asunnot.oikotie.fi/myytavat-asunnot/turku/16822697</t>
  </si>
  <si>
    <t>https://asunnot.oikotie.fi/myytavat-asunnot/turku/16822301</t>
  </si>
  <si>
    <t>https://asunnot.oikotie.fi/myytavat-asunnot/turku/16820097</t>
  </si>
  <si>
    <t>https://asunnot.oikotie.fi/myytavat-asunnot/turku/16817988</t>
  </si>
  <si>
    <t>https://asunnot.oikotie.fi/myytavat-asunnot/turku/16817280</t>
  </si>
  <si>
    <t>https://asunnot.oikotie.fi/myytavat-asunnot/turku/16805428</t>
  </si>
  <si>
    <t>https://asunnot.oikotie.fi/myytavat-asunnot/turku/16802362</t>
  </si>
  <si>
    <t>https://asunnot.oikotie.fi/myytavat-asunnot/turku/16798699</t>
  </si>
  <si>
    <t>https://asunnot.oikotie.fi/myytavat-asunnot/turku/16795457</t>
  </si>
  <si>
    <t>https://asunnot.oikotie.fi/myytavat-asunnot/turku/16792700</t>
  </si>
  <si>
    <t>https://asunnot.oikotie.fi/myytavat-asunnot/turku/16370719</t>
  </si>
  <si>
    <t>https://asunnot.oikotie.fi/myytavat-asunnot/turku/16792331</t>
  </si>
  <si>
    <t>https://asunnot.oikotie.fi/myytavat-asunnot/turku/16779850</t>
  </si>
  <si>
    <t>https://asunnot.oikotie.fi/myytavat-asunnot/turku/16559086</t>
  </si>
  <si>
    <t>https://asunnot.oikotie.fi/myytavat-asunnot/turku/16555833</t>
  </si>
  <si>
    <t>https://asunnot.oikotie.fi/myytavat-asunnot/turku/16553319</t>
  </si>
  <si>
    <t>https://asunnot.oikotie.fi/myytavat-asunnot/turku/16552977</t>
  </si>
  <si>
    <t>https://asunnot.oikotie.fi/myytavat-asunnot/turku/16387463</t>
  </si>
  <si>
    <t>https://asunnot.oikotie.fi/myytavat-asunnot/turku/16546631</t>
  </si>
  <si>
    <t>https://asunnot.oikotie.fi/myytavat-asunnot/turku/16535172</t>
  </si>
  <si>
    <t>https://asunnot.oikotie.fi/myytavat-asunnot/turku/16480507</t>
  </si>
  <si>
    <t>https://asunnot.oikotie.fi/myytavat-asunnot/turku/16470514</t>
  </si>
  <si>
    <t>https://asunnot.oikotie.fi/myytavat-asunnot/turku/16418922</t>
  </si>
  <si>
    <t>https://asunnot.oikotie.fi/myytavat-asunnot/turku/16400046</t>
  </si>
  <si>
    <t>https://asunnot.oikotie.fi/myytavat-asunnot/turku/16390602</t>
  </si>
  <si>
    <t>https://asunnot.oikotie.fi/myytavat-asunnot/turku/16367613</t>
  </si>
  <si>
    <t>https://asunnot.oikotie.fi/myytavat-asunnot/turku/16164566</t>
  </si>
  <si>
    <t>https://asunnot.oikotie.fi/myytavat-asunnot/turku/16225842</t>
  </si>
  <si>
    <t>https://asunnot.oikotie.fi/myytavat-asunnot/turku/16210645</t>
  </si>
  <si>
    <t>https://asunnot.oikotie.fi/myytavat-asunnot/turku/15001506</t>
  </si>
  <si>
    <t xml:space="preserve">Raudoittajantie </t>
  </si>
  <si>
    <t>21280</t>
  </si>
  <si>
    <t xml:space="preserve">Suokallionkatu </t>
  </si>
  <si>
    <t>20400</t>
  </si>
  <si>
    <t xml:space="preserve">Isohaantie </t>
  </si>
  <si>
    <t xml:space="preserve">Kivilähteentie </t>
  </si>
  <si>
    <t>20460</t>
  </si>
  <si>
    <t xml:space="preserve">Talvitie </t>
  </si>
  <si>
    <t>20610</t>
  </si>
  <si>
    <t xml:space="preserve">Korkkisvuorenkatu </t>
  </si>
  <si>
    <t>20320</t>
  </si>
  <si>
    <t xml:space="preserve">Savustamonkatu </t>
  </si>
  <si>
    <t>20540</t>
  </si>
  <si>
    <t xml:space="preserve">Askaistentie </t>
  </si>
  <si>
    <t>20810</t>
  </si>
  <si>
    <t xml:space="preserve">Hännikönkatu </t>
  </si>
  <si>
    <t xml:space="preserve">Paaluttajantie </t>
  </si>
  <si>
    <t xml:space="preserve">Mäntysaarentie </t>
  </si>
  <si>
    <t>21330</t>
  </si>
  <si>
    <t xml:space="preserve">Hakkiskuja </t>
  </si>
  <si>
    <t>20300</t>
  </si>
  <si>
    <t xml:space="preserve">Merenkävijänkatu </t>
  </si>
  <si>
    <t>20900</t>
  </si>
  <si>
    <t xml:space="preserve">Vanha Hämeentie </t>
  </si>
  <si>
    <t xml:space="preserve">Illoistentie </t>
  </si>
  <si>
    <t xml:space="preserve">Kärmelänkatu </t>
  </si>
  <si>
    <t xml:space="preserve">Mittumaarintie </t>
  </si>
  <si>
    <t xml:space="preserve">Ylitalonkatu </t>
  </si>
  <si>
    <t xml:space="preserve">Nikkarmäenkuja </t>
  </si>
  <si>
    <t>20380</t>
  </si>
  <si>
    <t xml:space="preserve">Kultalähteentie </t>
  </si>
  <si>
    <t>20250</t>
  </si>
  <si>
    <t xml:space="preserve">Asematie </t>
  </si>
  <si>
    <t xml:space="preserve">Pääskylänkatu </t>
  </si>
  <si>
    <t xml:space="preserve">Lauritsankatu </t>
  </si>
  <si>
    <t>20740</t>
  </si>
  <si>
    <t xml:space="preserve">Kaurakatu </t>
  </si>
  <si>
    <t xml:space="preserve">Välskärinkatu </t>
  </si>
  <si>
    <t xml:space="preserve">Perkontie </t>
  </si>
  <si>
    <t xml:space="preserve">Kannistontie </t>
  </si>
  <si>
    <t xml:space="preserve">Jokelantie </t>
  </si>
  <si>
    <t xml:space="preserve">Orhikujanne </t>
  </si>
  <si>
    <t xml:space="preserve">Pyhtyntie </t>
  </si>
  <si>
    <t xml:space="preserve">Pietinkuja </t>
  </si>
  <si>
    <t xml:space="preserve">Erämiehentie </t>
  </si>
  <si>
    <t>21340</t>
  </si>
  <si>
    <t xml:space="preserve">Paltankatu </t>
  </si>
  <si>
    <t>20360</t>
  </si>
  <si>
    <t xml:space="preserve">Ruuhikuja </t>
  </si>
  <si>
    <t xml:space="preserve">Palometsäntie </t>
  </si>
  <si>
    <t xml:space="preserve">Säkyläntie </t>
  </si>
  <si>
    <t xml:space="preserve">Kollintie </t>
  </si>
  <si>
    <t>20960</t>
  </si>
  <si>
    <t xml:space="preserve">Mäenpääntie </t>
  </si>
  <si>
    <t xml:space="preserve">Mustamäentie </t>
  </si>
  <si>
    <t xml:space="preserve">Koukkukankareentie </t>
  </si>
  <si>
    <t xml:space="preserve">Paattistentie </t>
  </si>
  <si>
    <t xml:space="preserve">Rautsuonkatu </t>
  </si>
  <si>
    <t>1964</t>
  </si>
  <si>
    <t>1969</t>
  </si>
  <si>
    <t>1954</t>
  </si>
  <si>
    <t>1972</t>
  </si>
  <si>
    <t>1961</t>
  </si>
  <si>
    <t>1942</t>
  </si>
  <si>
    <t>1938</t>
  </si>
  <si>
    <t>1952</t>
  </si>
  <si>
    <t>1971</t>
  </si>
  <si>
    <t>2009</t>
  </si>
  <si>
    <t>1986</t>
  </si>
  <si>
    <t>1953</t>
  </si>
  <si>
    <t>1956</t>
  </si>
  <si>
    <t>1962</t>
  </si>
  <si>
    <t>1990</t>
  </si>
  <si>
    <t>1975</t>
  </si>
  <si>
    <t>1800</t>
  </si>
  <si>
    <t>1960</t>
  </si>
  <si>
    <t>2006</t>
  </si>
  <si>
    <t>1965</t>
  </si>
  <si>
    <t>1948</t>
  </si>
  <si>
    <t>1949</t>
  </si>
  <si>
    <t>1881</t>
  </si>
  <si>
    <t>1989</t>
  </si>
  <si>
    <t>2000</t>
  </si>
  <si>
    <t>1988</t>
  </si>
  <si>
    <t>1950</t>
  </si>
  <si>
    <t>1996</t>
  </si>
  <si>
    <t>1937</t>
  </si>
  <si>
    <t>1970</t>
  </si>
  <si>
    <t>1991</t>
  </si>
  <si>
    <t>1957</t>
  </si>
  <si>
    <t>Omakotitalo</t>
  </si>
  <si>
    <t>3844</t>
  </si>
  <si>
    <t>1758</t>
  </si>
  <si>
    <t>2189</t>
  </si>
  <si>
    <t>2023</t>
  </si>
  <si>
    <t>2064</t>
  </si>
  <si>
    <t>2004</t>
  </si>
  <si>
    <t>2280</t>
  </si>
  <si>
    <t>2362</t>
  </si>
  <si>
    <t>2215</t>
  </si>
  <si>
    <t>2783</t>
  </si>
  <si>
    <t>1198</t>
  </si>
  <si>
    <t>2222</t>
  </si>
  <si>
    <t>1459</t>
  </si>
  <si>
    <t>1321</t>
  </si>
  <si>
    <t>https://asunnot.oikotie.fi/myytavat-asunnot/lieto/16838154</t>
  </si>
  <si>
    <t>https://asunnot.oikotie.fi/myytavat-asunnot/lieto/16837744</t>
  </si>
  <si>
    <t>https://asunnot.oikotie.fi/myytavat-asunnot/lieto/16835969</t>
  </si>
  <si>
    <t>https://asunnot.oikotie.fi/myytavat-asunnot/lieto/16830008</t>
  </si>
  <si>
    <t>https://asunnot.oikotie.fi/myytavat-asunnot/lieto/16829496</t>
  </si>
  <si>
    <t>https://asunnot.oikotie.fi/myytavat-asunnot/lieto/16828772</t>
  </si>
  <si>
    <t>https://asunnot.oikotie.fi/myytavat-asunnot/lieto/16817862</t>
  </si>
  <si>
    <t>https://asunnot.oikotie.fi/myytavat-asunnot/lieto/16814533</t>
  </si>
  <si>
    <t>https://asunnot.oikotie.fi/myytavat-asunnot/lieto/16813835</t>
  </si>
  <si>
    <t>https://asunnot.oikotie.fi/myytavat-asunnot/lieto/16812200</t>
  </si>
  <si>
    <t>https://asunnot.oikotie.fi/myytavat-asunnot/lieto/16806690</t>
  </si>
  <si>
    <t>https://asunnot.oikotie.fi/myytavat-asunnot/lieto/16794839</t>
  </si>
  <si>
    <t>https://asunnot.oikotie.fi/myytavat-asunnot/lieto/16779316</t>
  </si>
  <si>
    <t>https://asunnot.oikotie.fi/myytavat-asunnot/lieto/16777011</t>
  </si>
  <si>
    <t>https://asunnot.oikotie.fi/myytavat-asunnot/lieto/16776580</t>
  </si>
  <si>
    <t>https://asunnot.oikotie.fi/myytavat-asunnot/lieto/16774838</t>
  </si>
  <si>
    <t>https://asunnot.oikotie.fi/myytavat-asunnot/lieto/16648239</t>
  </si>
  <si>
    <t>https://asunnot.oikotie.fi/myytavat-asunnot/lieto/16541069</t>
  </si>
  <si>
    <t>https://asunnot.oikotie.fi/myytavat-asunnot/lieto/16540435</t>
  </si>
  <si>
    <t>https://asunnot.oikotie.fi/myytavat-asunnot/lieto/16537566</t>
  </si>
  <si>
    <t>https://asunnot.oikotie.fi/myytavat-asunnot/lieto/16485386</t>
  </si>
  <si>
    <t>https://asunnot.oikotie.fi/myytavat-asunnot/lieto/16477635</t>
  </si>
  <si>
    <t>https://asunnot.oikotie.fi/myytavat-asunnot/lieto/16474172</t>
  </si>
  <si>
    <t>https://asunnot.oikotie.fi/myytavat-asunnot/lieto/16380932</t>
  </si>
  <si>
    <t>https://asunnot.oikotie.fi/myytavat-asunnot/lieto/16348443</t>
  </si>
  <si>
    <t>https://asunnot.oikotie.fi/myytavat-asunnot/lieto/16168908</t>
  </si>
  <si>
    <t>https://asunnot.oikotie.fi/myytavat-asunnot/lieto/15553052</t>
  </si>
  <si>
    <t xml:space="preserve">Suurilantie </t>
  </si>
  <si>
    <t>21450</t>
  </si>
  <si>
    <t xml:space="preserve">Ilmaristentie </t>
  </si>
  <si>
    <t>21350</t>
  </si>
  <si>
    <t xml:space="preserve">Pajakuja </t>
  </si>
  <si>
    <t>21420</t>
  </si>
  <si>
    <t xml:space="preserve">Lehmustie </t>
  </si>
  <si>
    <t xml:space="preserve">Kaurinkoskentie </t>
  </si>
  <si>
    <t>21360</t>
  </si>
  <si>
    <t xml:space="preserve">Mestarintie </t>
  </si>
  <si>
    <t>21410</t>
  </si>
  <si>
    <t xml:space="preserve">Ritvalantie </t>
  </si>
  <si>
    <t xml:space="preserve">Liedonperäntie </t>
  </si>
  <si>
    <t>21430</t>
  </si>
  <si>
    <t xml:space="preserve">Lautamiehenkuja </t>
  </si>
  <si>
    <t xml:space="preserve">Poikojantie </t>
  </si>
  <si>
    <t xml:space="preserve">Askelkuja </t>
  </si>
  <si>
    <t xml:space="preserve">Kullaansuontie </t>
  </si>
  <si>
    <t xml:space="preserve">Helavuorentie </t>
  </si>
  <si>
    <t xml:space="preserve">Manunlenkki </t>
  </si>
  <si>
    <t xml:space="preserve">Saulinkuja </t>
  </si>
  <si>
    <t xml:space="preserve">Männikönkuja </t>
  </si>
  <si>
    <t xml:space="preserve">Koivikontie </t>
  </si>
  <si>
    <t xml:space="preserve">Hiippakuja </t>
  </si>
  <si>
    <t xml:space="preserve">Närekuja </t>
  </si>
  <si>
    <t xml:space="preserve">Juhaninkuja </t>
  </si>
  <si>
    <t xml:space="preserve">Aisakuja </t>
  </si>
  <si>
    <t xml:space="preserve">Päivöläntie </t>
  </si>
  <si>
    <t>20660</t>
  </si>
  <si>
    <t xml:space="preserve">Pyhällöntie </t>
  </si>
  <si>
    <t xml:space="preserve">Pahkalaukkaantie </t>
  </si>
  <si>
    <t xml:space="preserve">Luumäentie </t>
  </si>
  <si>
    <t xml:space="preserve">Raidistontie </t>
  </si>
  <si>
    <t>1920</t>
  </si>
  <si>
    <t>2008</t>
  </si>
  <si>
    <t>2002</t>
  </si>
  <si>
    <t>1985</t>
  </si>
  <si>
    <t>1930</t>
  </si>
  <si>
    <t>2014</t>
  </si>
  <si>
    <t>1900</t>
  </si>
  <si>
    <t>2022</t>
  </si>
  <si>
    <t>1974</t>
  </si>
  <si>
    <t>1958</t>
  </si>
  <si>
    <t>1984</t>
  </si>
  <si>
    <t>2001</t>
  </si>
  <si>
    <t>1999</t>
  </si>
  <si>
    <t>1925</t>
  </si>
  <si>
    <t>1997</t>
  </si>
  <si>
    <t>1034</t>
  </si>
  <si>
    <t>1874</t>
  </si>
  <si>
    <t>1357</t>
  </si>
  <si>
    <t>1301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</si>
</sst>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49" fontId="0" fillId="0" borderId="0" xfId="0" applyNumberFormat="1" applyFont="1"/>
    <xf numFmtId="49" fontId="1" fillId="0" borderId="0" xfId="1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0" borderId="0" xfId="0" applyNumberFormat="1"/>
    <xf numFmtId="0" fontId="0" fillId="2" borderId="0" xfId="0" applyNumberFormat="1" applyFill="1"/>
    <xf numFmtId="49" fontId="0" fillId="2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10" fontId="0" fillId="2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/>
    <xf numFmtId="2" fontId="0" fillId="0" borderId="0" xfId="0" applyNumberFormat="1"/>
    <xf numFmtId="2" fontId="2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3A799-F893-4D1B-B952-E6D483D84822}">
  <dimension ref="A1:N108"/>
  <sheetViews>
    <sheetView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E28" sqref="E28"/>
    </sheetView>
  </sheetViews>
  <sheetFormatPr defaultColWidth="8.7265625" defaultRowHeight="14.5"/>
  <cols>
    <col min="1" max="1" width="12.1796875" style="6" bestFit="1" customWidth="1"/>
    <col min="2" max="2" width="12" style="6" bestFit="1" customWidth="1"/>
    <col min="3" max="3" width="12" style="15" bestFit="1" customWidth="1"/>
    <col min="4" max="4" width="13.453125" style="1" bestFit="1" customWidth="1"/>
    <col min="5" max="5" width="18" style="1" bestFit="1" customWidth="1"/>
    <col min="6" max="6" width="16" style="9" bestFit="1" customWidth="1"/>
    <col min="7" max="7" width="58.26953125" style="1" bestFit="1" customWidth="1"/>
    <col min="8" max="8" width="20.08984375" style="9" bestFit="1" customWidth="1"/>
    <col min="9" max="9" width="13.7265625" style="11" bestFit="1" customWidth="1"/>
    <col min="10" max="10" width="9.54296875" style="13" bestFit="1" customWidth="1"/>
    <col min="11" max="11" width="9.26953125" style="13" bestFit="1" customWidth="1"/>
    <col min="12" max="12" width="19.26953125" style="9" bestFit="1" customWidth="1"/>
    <col min="13" max="13" width="10.6328125" style="1" bestFit="1" customWidth="1"/>
    <col min="14" max="14" width="8" style="1" bestFit="1" customWidth="1"/>
    <col min="15" max="16384" width="8.7265625" style="1"/>
  </cols>
  <sheetData>
    <row r="1" spans="1:14">
      <c r="A1" s="7" t="s">
        <v>22</v>
      </c>
      <c r="B1" s="7" t="s">
        <v>23</v>
      </c>
      <c r="C1" s="14" t="s">
        <v>4</v>
      </c>
      <c r="D1" s="5" t="s">
        <v>2</v>
      </c>
      <c r="E1" s="5" t="s">
        <v>3</v>
      </c>
      <c r="F1" s="8" t="s">
        <v>0</v>
      </c>
      <c r="G1" s="5" t="s">
        <v>1</v>
      </c>
      <c r="H1" s="8" t="s">
        <v>24</v>
      </c>
      <c r="I1" s="10" t="s">
        <v>8</v>
      </c>
      <c r="J1" s="12" t="s">
        <v>5</v>
      </c>
      <c r="K1" s="12" t="s">
        <v>6</v>
      </c>
      <c r="L1" s="8" t="s">
        <v>7</v>
      </c>
      <c r="M1" s="5" t="s">
        <v>9</v>
      </c>
      <c r="N1" s="5" t="s">
        <v>10</v>
      </c>
    </row>
    <row r="2" spans="1:14">
      <c r="A2" s="6">
        <v>84000</v>
      </c>
      <c r="B2" s="6">
        <v>158</v>
      </c>
      <c r="C2" s="15">
        <v>531.64556962025313</v>
      </c>
      <c r="D2" s="1" t="s">
        <v>237</v>
      </c>
      <c r="E2" s="1" t="s">
        <v>204</v>
      </c>
      <c r="F2" s="9" t="s">
        <v>205</v>
      </c>
      <c r="G2" s="1" t="s">
        <v>177</v>
      </c>
      <c r="H2" s="9" t="s">
        <v>163</v>
      </c>
      <c r="I2" s="11">
        <v>0.138305299068744</v>
      </c>
      <c r="J2" s="13">
        <f>IFERROR(AVERAGE(C:C),0)</f>
        <v>1751.7492479727971</v>
      </c>
      <c r="K2" s="13">
        <f>IFERROR(MEDIAN(C:C),0)</f>
        <v>1658.3850931677018</v>
      </c>
      <c r="L2" s="9" t="s">
        <v>162</v>
      </c>
      <c r="M2" s="1" t="s">
        <v>20</v>
      </c>
      <c r="N2" s="1" t="s">
        <v>21</v>
      </c>
    </row>
    <row r="3" spans="1:14">
      <c r="A3" s="6">
        <v>85000</v>
      </c>
      <c r="B3" s="6">
        <v>311</v>
      </c>
      <c r="C3" s="15">
        <v>273.31189710610931</v>
      </c>
      <c r="D3" s="1" t="s">
        <v>137</v>
      </c>
      <c r="E3" s="1" t="s">
        <v>233</v>
      </c>
      <c r="F3" s="9" t="s">
        <v>217</v>
      </c>
      <c r="G3" s="1" t="s">
        <v>200</v>
      </c>
      <c r="H3" s="9" t="s">
        <v>255</v>
      </c>
      <c r="I3" s="11">
        <v>0.21007832214151401</v>
      </c>
    </row>
    <row r="4" spans="1:14">
      <c r="A4" s="6">
        <v>429000</v>
      </c>
      <c r="B4" s="6">
        <v>598</v>
      </c>
      <c r="C4" s="15">
        <v>717.39130434782612</v>
      </c>
      <c r="D4" s="1" t="s">
        <v>250</v>
      </c>
      <c r="E4" s="1" t="s">
        <v>234</v>
      </c>
      <c r="F4" s="9" t="s">
        <v>78</v>
      </c>
      <c r="G4" s="1" t="s">
        <v>201</v>
      </c>
      <c r="H4" s="9" t="s">
        <v>167</v>
      </c>
      <c r="I4" s="11">
        <v>0.347573306370071</v>
      </c>
    </row>
    <row r="5" spans="1:14">
      <c r="A5" s="6">
        <v>179000</v>
      </c>
      <c r="B5" s="6">
        <v>181.2</v>
      </c>
      <c r="C5" s="15">
        <v>987.85871964679916</v>
      </c>
      <c r="D5" s="1" t="s">
        <v>247</v>
      </c>
      <c r="E5" s="1" t="s">
        <v>235</v>
      </c>
      <c r="F5" s="9" t="s">
        <v>232</v>
      </c>
      <c r="G5" s="1" t="s">
        <v>202</v>
      </c>
      <c r="H5" s="9" t="s">
        <v>167</v>
      </c>
      <c r="I5" s="11">
        <v>0.47861372075910802</v>
      </c>
    </row>
    <row r="6" spans="1:14">
      <c r="A6" s="6">
        <v>99000</v>
      </c>
      <c r="B6" s="6">
        <v>100</v>
      </c>
      <c r="C6" s="15">
        <v>990</v>
      </c>
      <c r="D6" s="1" t="s">
        <v>147</v>
      </c>
      <c r="E6" s="1" t="s">
        <v>216</v>
      </c>
      <c r="F6" s="9" t="s">
        <v>217</v>
      </c>
      <c r="G6" s="1" t="s">
        <v>184</v>
      </c>
      <c r="H6" s="9" t="s">
        <v>241</v>
      </c>
      <c r="I6" s="11">
        <v>0.51295336787564805</v>
      </c>
    </row>
    <row r="7" spans="1:14">
      <c r="A7" s="6">
        <v>119000</v>
      </c>
      <c r="B7" s="6">
        <v>119</v>
      </c>
      <c r="C7" s="15">
        <v>1000</v>
      </c>
      <c r="D7" s="1" t="s">
        <v>245</v>
      </c>
      <c r="E7" s="1" t="s">
        <v>228</v>
      </c>
      <c r="F7" s="9" t="s">
        <v>209</v>
      </c>
      <c r="G7" s="1" t="s">
        <v>196</v>
      </c>
      <c r="H7" s="9" t="s">
        <v>253</v>
      </c>
      <c r="I7" s="11">
        <v>0.53361792956243304</v>
      </c>
    </row>
    <row r="8" spans="1:14">
      <c r="A8" s="6">
        <v>219000</v>
      </c>
      <c r="B8" s="6">
        <v>180</v>
      </c>
      <c r="C8" s="15">
        <v>1216.6666666666667</v>
      </c>
      <c r="D8" s="1" t="s">
        <v>245</v>
      </c>
      <c r="E8" s="1" t="s">
        <v>225</v>
      </c>
      <c r="F8" s="9" t="s">
        <v>209</v>
      </c>
      <c r="G8" s="1" t="s">
        <v>192</v>
      </c>
      <c r="H8" s="9" t="s">
        <v>253</v>
      </c>
      <c r="I8" s="11">
        <v>0.64923514763429402</v>
      </c>
    </row>
    <row r="9" spans="1:14">
      <c r="A9" s="6">
        <v>268000</v>
      </c>
      <c r="B9" s="6">
        <v>250</v>
      </c>
      <c r="C9" s="15">
        <v>1072</v>
      </c>
      <c r="D9" s="1" t="s">
        <v>132</v>
      </c>
      <c r="E9" s="1" t="s">
        <v>222</v>
      </c>
      <c r="F9" s="9" t="s">
        <v>212</v>
      </c>
      <c r="G9" s="1" t="s">
        <v>189</v>
      </c>
      <c r="H9" s="9" t="s">
        <v>254</v>
      </c>
      <c r="I9" s="11">
        <v>0.78997789240972704</v>
      </c>
    </row>
    <row r="10" spans="1:14">
      <c r="A10" s="6">
        <v>179000</v>
      </c>
      <c r="B10" s="6">
        <v>165</v>
      </c>
      <c r="C10" s="15">
        <v>1084.8484848484848</v>
      </c>
      <c r="D10" s="1" t="s">
        <v>243</v>
      </c>
      <c r="E10" s="1" t="s">
        <v>221</v>
      </c>
      <c r="F10" s="9" t="s">
        <v>212</v>
      </c>
      <c r="G10" s="1" t="s">
        <v>188</v>
      </c>
      <c r="H10" s="9" t="s">
        <v>254</v>
      </c>
      <c r="I10" s="11">
        <v>0.79944619369822001</v>
      </c>
    </row>
    <row r="11" spans="1:14">
      <c r="A11" s="6">
        <v>349000</v>
      </c>
      <c r="B11" s="6">
        <v>217.5</v>
      </c>
      <c r="C11" s="15">
        <v>1604.5977011494253</v>
      </c>
      <c r="D11" s="1" t="s">
        <v>248</v>
      </c>
      <c r="E11" s="1" t="s">
        <v>230</v>
      </c>
      <c r="F11" s="9" t="s">
        <v>209</v>
      </c>
      <c r="G11" s="1" t="s">
        <v>198</v>
      </c>
      <c r="H11" s="9" t="s">
        <v>253</v>
      </c>
      <c r="I11" s="11">
        <v>0.85624210306799597</v>
      </c>
    </row>
    <row r="12" spans="1:14">
      <c r="A12" s="6">
        <v>279000</v>
      </c>
      <c r="B12" s="6">
        <v>228</v>
      </c>
      <c r="C12" s="15">
        <v>1223.6842105263158</v>
      </c>
      <c r="D12" s="1" t="s">
        <v>251</v>
      </c>
      <c r="E12" s="1" t="s">
        <v>236</v>
      </c>
      <c r="F12" s="9" t="s">
        <v>212</v>
      </c>
      <c r="G12" s="1" t="s">
        <v>203</v>
      </c>
      <c r="H12" s="9" t="s">
        <v>254</v>
      </c>
      <c r="I12" s="11">
        <v>0.90175697164798496</v>
      </c>
    </row>
    <row r="13" spans="1:14">
      <c r="A13" s="6">
        <v>459000</v>
      </c>
      <c r="B13" s="6">
        <v>224</v>
      </c>
      <c r="C13" s="15">
        <v>2049.1071428571427</v>
      </c>
      <c r="D13" s="1" t="s">
        <v>240</v>
      </c>
      <c r="E13" s="1" t="s">
        <v>218</v>
      </c>
      <c r="F13" s="9" t="s">
        <v>209</v>
      </c>
      <c r="G13" s="1" t="s">
        <v>185</v>
      </c>
      <c r="H13" s="9" t="s">
        <v>253</v>
      </c>
      <c r="I13" s="11">
        <v>1.09344031102302</v>
      </c>
    </row>
    <row r="14" spans="1:14">
      <c r="A14" s="6">
        <v>148000</v>
      </c>
      <c r="B14" s="6">
        <v>98</v>
      </c>
      <c r="C14" s="15">
        <v>1510.204081632653</v>
      </c>
      <c r="D14" s="1" t="s">
        <v>241</v>
      </c>
      <c r="E14" s="1" t="s">
        <v>219</v>
      </c>
      <c r="F14" s="9" t="s">
        <v>212</v>
      </c>
      <c r="G14" s="1" t="s">
        <v>186</v>
      </c>
      <c r="H14" s="9" t="s">
        <v>254</v>
      </c>
      <c r="I14" s="11">
        <v>1.1128991021611301</v>
      </c>
    </row>
    <row r="15" spans="1:14">
      <c r="A15" s="6">
        <v>385000</v>
      </c>
      <c r="B15" s="6">
        <v>182</v>
      </c>
      <c r="C15" s="15">
        <v>2115.3846153846152</v>
      </c>
      <c r="D15" s="1" t="s">
        <v>247</v>
      </c>
      <c r="E15" s="1" t="s">
        <v>229</v>
      </c>
      <c r="F15" s="9" t="s">
        <v>209</v>
      </c>
      <c r="G15" s="1" t="s">
        <v>197</v>
      </c>
      <c r="H15" s="9" t="s">
        <v>253</v>
      </c>
      <c r="I15" s="11">
        <v>1.1288071586897599</v>
      </c>
    </row>
    <row r="16" spans="1:14">
      <c r="A16" s="6">
        <v>368000</v>
      </c>
      <c r="B16" s="6">
        <v>160.1</v>
      </c>
      <c r="C16" s="15">
        <v>2298.5633978763276</v>
      </c>
      <c r="D16" s="1" t="s">
        <v>133</v>
      </c>
      <c r="E16" s="1" t="s">
        <v>215</v>
      </c>
      <c r="F16" s="9" t="s">
        <v>207</v>
      </c>
      <c r="G16" s="1" t="s">
        <v>183</v>
      </c>
      <c r="H16" s="9" t="s">
        <v>139</v>
      </c>
      <c r="I16" s="11">
        <v>1.14413309998822</v>
      </c>
    </row>
    <row r="17" spans="1:9">
      <c r="A17" s="6">
        <v>145000</v>
      </c>
      <c r="B17" s="6">
        <v>93</v>
      </c>
      <c r="C17" s="15">
        <v>1559.1397849462367</v>
      </c>
      <c r="D17" s="1" t="s">
        <v>246</v>
      </c>
      <c r="E17" s="1" t="s">
        <v>226</v>
      </c>
      <c r="F17" s="9" t="s">
        <v>217</v>
      </c>
      <c r="G17" s="1" t="s">
        <v>193</v>
      </c>
      <c r="H17" s="9" t="s">
        <v>255</v>
      </c>
      <c r="I17" s="11">
        <v>1.19841643731456</v>
      </c>
    </row>
    <row r="18" spans="1:9">
      <c r="A18" s="6">
        <v>178000</v>
      </c>
      <c r="B18" s="6">
        <v>84</v>
      </c>
      <c r="C18" s="15">
        <v>2119.0476190476193</v>
      </c>
      <c r="D18" s="1" t="s">
        <v>239</v>
      </c>
      <c r="E18" s="1" t="s">
        <v>211</v>
      </c>
      <c r="F18" s="9" t="s">
        <v>212</v>
      </c>
      <c r="G18" s="1" t="s">
        <v>181</v>
      </c>
      <c r="H18" s="9" t="s">
        <v>164</v>
      </c>
      <c r="I18" s="11">
        <v>1.20537407226827</v>
      </c>
    </row>
    <row r="19" spans="1:9">
      <c r="A19" s="6">
        <v>325000</v>
      </c>
      <c r="B19" s="6">
        <v>133</v>
      </c>
      <c r="C19" s="15">
        <v>2443.6090225563908</v>
      </c>
      <c r="D19" s="1" t="s">
        <v>249</v>
      </c>
      <c r="E19" s="1" t="s">
        <v>231</v>
      </c>
      <c r="F19" s="9" t="s">
        <v>232</v>
      </c>
      <c r="G19" s="1" t="s">
        <v>199</v>
      </c>
      <c r="H19" s="9" t="s">
        <v>164</v>
      </c>
      <c r="I19" s="11">
        <v>1.3899937557203601</v>
      </c>
    </row>
    <row r="20" spans="1:9">
      <c r="A20" s="6">
        <v>279500</v>
      </c>
      <c r="B20" s="6">
        <v>103</v>
      </c>
      <c r="C20" s="15">
        <v>2713.5922330097087</v>
      </c>
      <c r="D20" s="1" t="s">
        <v>139</v>
      </c>
      <c r="E20" s="1" t="s">
        <v>208</v>
      </c>
      <c r="F20" s="9" t="s">
        <v>209</v>
      </c>
      <c r="G20" s="1" t="s">
        <v>179</v>
      </c>
      <c r="H20" s="9" t="s">
        <v>241</v>
      </c>
      <c r="I20" s="11">
        <v>1.4060063383470001</v>
      </c>
    </row>
    <row r="21" spans="1:9">
      <c r="A21" s="6">
        <v>448000</v>
      </c>
      <c r="B21" s="6">
        <v>158</v>
      </c>
      <c r="C21" s="15">
        <v>2835.4430379746836</v>
      </c>
      <c r="D21" s="1" t="s">
        <v>242</v>
      </c>
      <c r="E21" s="1" t="s">
        <v>220</v>
      </c>
      <c r="F21" s="9" t="s">
        <v>207</v>
      </c>
      <c r="G21" s="1" t="s">
        <v>187</v>
      </c>
      <c r="H21" s="9" t="s">
        <v>139</v>
      </c>
      <c r="I21" s="11">
        <v>1.41137035240153</v>
      </c>
    </row>
    <row r="22" spans="1:9">
      <c r="A22" s="6">
        <v>288000</v>
      </c>
      <c r="B22" s="6">
        <v>116</v>
      </c>
      <c r="C22" s="15">
        <v>2482.7586206896553</v>
      </c>
      <c r="D22" s="1" t="s">
        <v>168</v>
      </c>
      <c r="E22" s="1" t="s">
        <v>206</v>
      </c>
      <c r="F22" s="9" t="s">
        <v>207</v>
      </c>
      <c r="G22" s="1" t="s">
        <v>178</v>
      </c>
      <c r="H22" s="9" t="s">
        <v>164</v>
      </c>
      <c r="I22" s="11">
        <v>1.4122631517005999</v>
      </c>
    </row>
    <row r="23" spans="1:9">
      <c r="A23" s="6">
        <v>322000</v>
      </c>
      <c r="B23" s="6">
        <v>121</v>
      </c>
      <c r="C23" s="15">
        <v>2661.1570247933882</v>
      </c>
      <c r="D23" s="1" t="s">
        <v>244</v>
      </c>
      <c r="E23" s="1" t="s">
        <v>223</v>
      </c>
      <c r="F23" s="9" t="s">
        <v>209</v>
      </c>
      <c r="G23" s="2" t="s">
        <v>190</v>
      </c>
      <c r="H23" s="9" t="s">
        <v>253</v>
      </c>
      <c r="I23" s="11">
        <v>1.4200411018107699</v>
      </c>
    </row>
    <row r="24" spans="1:9">
      <c r="A24" s="6">
        <v>322000</v>
      </c>
      <c r="B24" s="6">
        <v>121</v>
      </c>
      <c r="C24" s="15">
        <v>2661.1570247933882</v>
      </c>
      <c r="D24" s="1" t="s">
        <v>244</v>
      </c>
      <c r="E24" s="1" t="s">
        <v>224</v>
      </c>
      <c r="F24" s="9" t="s">
        <v>209</v>
      </c>
      <c r="G24" s="1" t="s">
        <v>191</v>
      </c>
      <c r="H24" s="9" t="s">
        <v>253</v>
      </c>
      <c r="I24" s="11">
        <v>1.4200411018107699</v>
      </c>
    </row>
    <row r="25" spans="1:9">
      <c r="A25" s="6">
        <v>325000</v>
      </c>
      <c r="B25" s="6">
        <v>113</v>
      </c>
      <c r="C25" s="15">
        <v>2876.1061946902655</v>
      </c>
      <c r="D25" s="1" t="s">
        <v>154</v>
      </c>
      <c r="E25" s="1" t="s">
        <v>213</v>
      </c>
      <c r="F25" s="9" t="s">
        <v>214</v>
      </c>
      <c r="G25" s="1" t="s">
        <v>182</v>
      </c>
      <c r="H25" s="9" t="s">
        <v>241</v>
      </c>
      <c r="I25" s="11">
        <v>1.4902104635700899</v>
      </c>
    </row>
    <row r="26" spans="1:9">
      <c r="A26" s="6">
        <v>267000</v>
      </c>
      <c r="B26" s="6">
        <v>161</v>
      </c>
      <c r="C26" s="15">
        <v>1658.3850931677018</v>
      </c>
      <c r="D26" s="1" t="s">
        <v>238</v>
      </c>
      <c r="E26" s="1" t="s">
        <v>210</v>
      </c>
      <c r="F26" s="9" t="s">
        <v>205</v>
      </c>
      <c r="G26" s="1" t="s">
        <v>180</v>
      </c>
      <c r="H26" s="9" t="s">
        <v>252</v>
      </c>
      <c r="I26" s="11">
        <v>1.6038540552879099</v>
      </c>
    </row>
    <row r="27" spans="1:9">
      <c r="A27" s="6">
        <v>279000</v>
      </c>
      <c r="B27" s="6">
        <v>121</v>
      </c>
      <c r="C27" s="15">
        <v>2305.7851239669421</v>
      </c>
      <c r="D27" s="1" t="s">
        <v>244</v>
      </c>
      <c r="E27" s="1" t="s">
        <v>227</v>
      </c>
      <c r="F27" s="9" t="s">
        <v>212</v>
      </c>
      <c r="G27" s="1" t="s">
        <v>194</v>
      </c>
      <c r="H27" s="9" t="s">
        <v>254</v>
      </c>
      <c r="I27" s="11">
        <v>1.6991784259152101</v>
      </c>
    </row>
    <row r="28" spans="1:9">
      <c r="A28" s="6">
        <v>279000</v>
      </c>
      <c r="B28" s="6">
        <v>121</v>
      </c>
      <c r="C28" s="15">
        <v>2305.7851239669421</v>
      </c>
      <c r="D28" s="1" t="s">
        <v>244</v>
      </c>
      <c r="E28" s="1" t="s">
        <v>227</v>
      </c>
      <c r="F28" s="9" t="s">
        <v>212</v>
      </c>
      <c r="G28" s="1" t="s">
        <v>195</v>
      </c>
      <c r="H28" s="9" t="s">
        <v>254</v>
      </c>
      <c r="I28" s="11">
        <v>1.6991784259152101</v>
      </c>
    </row>
    <row r="31" spans="1:9">
      <c r="G31" s="2"/>
    </row>
    <row r="32" spans="1:9">
      <c r="G32" s="2"/>
    </row>
    <row r="35" spans="4:7">
      <c r="G35" s="2"/>
    </row>
    <row r="44" spans="4:7">
      <c r="D44" s="4"/>
    </row>
    <row r="52" spans="3:7">
      <c r="C52" s="16"/>
    </row>
    <row r="54" spans="3:7">
      <c r="G54" s="2"/>
    </row>
    <row r="55" spans="3:7">
      <c r="D55" s="4"/>
    </row>
    <row r="65" spans="7:7">
      <c r="G65" s="2"/>
    </row>
    <row r="75" spans="7:7">
      <c r="G75" s="2"/>
    </row>
    <row r="80" spans="7:7">
      <c r="G80" s="3"/>
    </row>
    <row r="102" spans="3:7">
      <c r="C102" s="16"/>
    </row>
    <row r="107" spans="3:7">
      <c r="G107" s="2"/>
    </row>
    <row r="108" spans="3:7">
      <c r="G108" s="2"/>
    </row>
  </sheetData>
  <autoFilter ref="A1:I101" xr:uid="{01E3A799-F893-4D1B-B952-E6D483D84822}">
    <sortState xmlns:xlrd2="http://schemas.microsoft.com/office/spreadsheetml/2017/richdata2" ref="A2:I101">
      <sortCondition ref="I1:I101"/>
    </sortState>
  </autoFilter>
  <conditionalFormatting sqref="I1:I1048576"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82F7-399D-4B98-B6C2-E72163EA02FF}">
  <dimension ref="A1:N108"/>
  <sheetViews>
    <sheetView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E28" sqref="E28"/>
    </sheetView>
  </sheetViews>
  <sheetFormatPr defaultColWidth="8.7265625" defaultRowHeight="14.5"/>
  <cols>
    <col min="1" max="1" width="12.1796875" style="6" bestFit="1" customWidth="1"/>
    <col min="2" max="2" width="12" style="6" bestFit="1" customWidth="1"/>
    <col min="3" max="3" width="12" style="15" bestFit="1" customWidth="1"/>
    <col min="4" max="4" width="13.453125" style="1" bestFit="1" customWidth="1"/>
    <col min="5" max="5" width="18" style="1" bestFit="1" customWidth="1"/>
    <col min="6" max="6" width="16" style="9" bestFit="1" customWidth="1"/>
    <col min="7" max="7" width="58.26953125" style="1" bestFit="1" customWidth="1"/>
    <col min="8" max="8" width="20.08984375" style="9" bestFit="1" customWidth="1"/>
    <col min="9" max="9" width="13.7265625" style="11" bestFit="1" customWidth="1"/>
    <col min="10" max="10" width="9.54296875" style="13" bestFit="1" customWidth="1"/>
    <col min="11" max="11" width="9.26953125" style="13" bestFit="1" customWidth="1"/>
    <col min="12" max="12" width="19.26953125" style="9" bestFit="1" customWidth="1"/>
    <col min="13" max="13" width="10.6328125" style="1" bestFit="1" customWidth="1"/>
    <col min="14" max="14" width="8" style="1" bestFit="1" customWidth="1"/>
    <col min="15" max="16384" width="8.7265625" style="1"/>
  </cols>
  <sheetData>
    <row r="1" spans="1:14">
      <c r="A1" s="7" t="s">
        <v>22</v>
      </c>
      <c r="B1" s="7" t="s">
        <v>23</v>
      </c>
      <c r="C1" s="14" t="s">
        <v>4</v>
      </c>
      <c r="D1" s="5" t="s">
        <v>2</v>
      </c>
      <c r="E1" s="5" t="s">
        <v>3</v>
      </c>
      <c r="F1" s="8" t="s">
        <v>0</v>
      </c>
      <c r="G1" s="5" t="s">
        <v>1</v>
      </c>
      <c r="H1" s="8" t="s">
        <v>24</v>
      </c>
      <c r="I1" s="10" t="s">
        <v>8</v>
      </c>
      <c r="J1" s="12" t="s">
        <v>5</v>
      </c>
      <c r="K1" s="12" t="s">
        <v>6</v>
      </c>
      <c r="L1" s="8" t="s">
        <v>7</v>
      </c>
      <c r="M1" s="5" t="s">
        <v>9</v>
      </c>
      <c r="N1" s="5" t="s">
        <v>10</v>
      </c>
    </row>
    <row r="2" spans="1:14">
      <c r="A2" s="6">
        <v>280000</v>
      </c>
      <c r="B2" s="6">
        <v>240</v>
      </c>
      <c r="C2" s="15">
        <v>1166.6666666666667</v>
      </c>
      <c r="D2" s="1" t="s">
        <v>17</v>
      </c>
      <c r="E2" s="1" t="s">
        <v>13</v>
      </c>
      <c r="F2" s="9" t="s">
        <v>14</v>
      </c>
      <c r="G2" s="1" t="s">
        <v>11</v>
      </c>
      <c r="H2" s="9" t="s">
        <v>25</v>
      </c>
      <c r="I2" s="11">
        <v>0.213401621852326</v>
      </c>
      <c r="J2" s="13">
        <f>IFERROR(AVERAGE(C:C),0)</f>
        <v>2869.3333333333335</v>
      </c>
      <c r="K2" s="13">
        <f>IFERROR(MEDIAN(C:C),0)</f>
        <v>2869.333333333333</v>
      </c>
      <c r="L2" s="9" t="s">
        <v>19</v>
      </c>
      <c r="M2" s="1" t="s">
        <v>20</v>
      </c>
      <c r="N2" s="1" t="s">
        <v>21</v>
      </c>
    </row>
    <row r="3" spans="1:14">
      <c r="A3" s="6">
        <v>388620</v>
      </c>
      <c r="B3" s="6">
        <v>85</v>
      </c>
      <c r="C3" s="15">
        <v>4572</v>
      </c>
      <c r="D3" s="1" t="s">
        <v>18</v>
      </c>
      <c r="E3" s="1" t="s">
        <v>15</v>
      </c>
      <c r="F3" s="9" t="s">
        <v>16</v>
      </c>
      <c r="G3" s="1" t="s">
        <v>12</v>
      </c>
      <c r="H3" s="9" t="s">
        <v>26</v>
      </c>
      <c r="I3" s="11" t="s">
        <v>27</v>
      </c>
    </row>
    <row r="8" spans="1:14">
      <c r="G8" s="2"/>
    </row>
    <row r="9" spans="1:14">
      <c r="G9" s="2"/>
    </row>
    <row r="17" spans="4:7">
      <c r="G17" s="2"/>
    </row>
    <row r="32" spans="4:7">
      <c r="D32" s="4"/>
    </row>
    <row r="39" spans="7:7">
      <c r="G39" s="2"/>
    </row>
    <row r="52" spans="3:7">
      <c r="C52" s="16"/>
    </row>
    <row r="54" spans="3:7">
      <c r="G54" s="2"/>
    </row>
    <row r="55" spans="3:7">
      <c r="D55" s="4"/>
    </row>
    <row r="65" spans="7:7">
      <c r="G65" s="2"/>
    </row>
    <row r="75" spans="7:7">
      <c r="G75" s="2"/>
    </row>
    <row r="80" spans="7:7">
      <c r="G80" s="3"/>
    </row>
    <row r="102" spans="3:7">
      <c r="C102" s="16"/>
    </row>
    <row r="107" spans="3:7">
      <c r="G107" s="2"/>
    </row>
    <row r="108" spans="3:7">
      <c r="G108" s="2"/>
    </row>
  </sheetData>
  <autoFilter ref="A1:I101" xr:uid="{01E3A799-F893-4D1B-B952-E6D483D84822}">
    <sortState xmlns:xlrd2="http://schemas.microsoft.com/office/spreadsheetml/2017/richdata2" ref="A2:I101">
      <sortCondition ref="I1:I101"/>
    </sortState>
  </autoFilter>
  <conditionalFormatting sqref="I1:I1048576"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08AFB-93B1-4BDE-8A4F-044E500222B9}">
  <dimension ref="A1:N108"/>
  <sheetViews>
    <sheetView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E28" sqref="E28"/>
    </sheetView>
  </sheetViews>
  <sheetFormatPr defaultColWidth="8.7265625" defaultRowHeight="14.5"/>
  <cols>
    <col min="1" max="1" width="12.1796875" style="6" bestFit="1" customWidth="1"/>
    <col min="2" max="2" width="12" style="6" bestFit="1" customWidth="1"/>
    <col min="3" max="3" width="12" style="15" bestFit="1" customWidth="1"/>
    <col min="4" max="4" width="13.453125" style="1" bestFit="1" customWidth="1"/>
    <col min="5" max="5" width="18" style="1" bestFit="1" customWidth="1"/>
    <col min="6" max="6" width="16" style="9" bestFit="1" customWidth="1"/>
    <col min="7" max="7" width="58.26953125" style="1" bestFit="1" customWidth="1"/>
    <col min="8" max="8" width="20.08984375" style="9" bestFit="1" customWidth="1"/>
    <col min="9" max="9" width="13.7265625" style="11" bestFit="1" customWidth="1"/>
    <col min="10" max="10" width="9.54296875" style="13" bestFit="1" customWidth="1"/>
    <col min="11" max="11" width="9.26953125" style="13" bestFit="1" customWidth="1"/>
    <col min="12" max="12" width="19.26953125" style="9" bestFit="1" customWidth="1"/>
    <col min="13" max="13" width="10.6328125" style="1" bestFit="1" customWidth="1"/>
    <col min="14" max="14" width="8" style="1" bestFit="1" customWidth="1"/>
    <col min="15" max="16384" width="8.7265625" style="1"/>
  </cols>
  <sheetData>
    <row r="1" spans="1:14">
      <c r="A1" s="7" t="s">
        <v>22</v>
      </c>
      <c r="B1" s="7" t="s">
        <v>23</v>
      </c>
      <c r="C1" s="14" t="s">
        <v>4</v>
      </c>
      <c r="D1" s="5" t="s">
        <v>2</v>
      </c>
      <c r="E1" s="5" t="s">
        <v>3</v>
      </c>
      <c r="F1" s="8" t="s">
        <v>0</v>
      </c>
      <c r="G1" s="5" t="s">
        <v>1</v>
      </c>
      <c r="H1" s="8" t="s">
        <v>24</v>
      </c>
      <c r="I1" s="10" t="s">
        <v>8</v>
      </c>
      <c r="J1" s="12" t="s">
        <v>5</v>
      </c>
      <c r="K1" s="12" t="s">
        <v>6</v>
      </c>
      <c r="L1" s="8" t="s">
        <v>7</v>
      </c>
      <c r="M1" s="5" t="s">
        <v>9</v>
      </c>
      <c r="N1" s="5" t="s">
        <v>10</v>
      </c>
    </row>
    <row r="2" spans="1:14">
      <c r="A2" s="6">
        <v>130000</v>
      </c>
      <c r="B2" s="6">
        <v>115</v>
      </c>
      <c r="C2" s="15">
        <v>1130.4347826086957</v>
      </c>
      <c r="D2" s="1" t="s">
        <v>130</v>
      </c>
      <c r="E2" s="1" t="s">
        <v>72</v>
      </c>
      <c r="F2" s="9" t="s">
        <v>73</v>
      </c>
      <c r="G2" s="1" t="s">
        <v>28</v>
      </c>
      <c r="H2" s="9" t="s">
        <v>163</v>
      </c>
      <c r="I2" s="11">
        <v>0.29407772700538398</v>
      </c>
      <c r="J2" s="13">
        <f>IFERROR(AVERAGE(C:C),0)</f>
        <v>2005.3388056636488</v>
      </c>
      <c r="K2" s="13">
        <f>IFERROR(MEDIAN(C:C),0)</f>
        <v>1828.6082474226805</v>
      </c>
      <c r="L2" s="9" t="s">
        <v>162</v>
      </c>
      <c r="M2" s="1" t="s">
        <v>20</v>
      </c>
      <c r="N2" s="1" t="s">
        <v>21</v>
      </c>
    </row>
    <row r="3" spans="1:14">
      <c r="A3" s="6">
        <v>210000</v>
      </c>
      <c r="B3" s="6">
        <v>120</v>
      </c>
      <c r="C3" s="15">
        <v>1750</v>
      </c>
      <c r="D3" s="1" t="s">
        <v>141</v>
      </c>
      <c r="E3" s="1" t="s">
        <v>93</v>
      </c>
      <c r="F3" s="9" t="s">
        <v>94</v>
      </c>
      <c r="G3" s="1" t="s">
        <v>40</v>
      </c>
      <c r="H3" s="9" t="s">
        <v>25</v>
      </c>
      <c r="I3" s="11">
        <v>0.32010243277848899</v>
      </c>
    </row>
    <row r="4" spans="1:14">
      <c r="A4" s="6">
        <v>445000</v>
      </c>
      <c r="B4" s="6">
        <v>280</v>
      </c>
      <c r="C4" s="15">
        <v>1589.2857142857142</v>
      </c>
      <c r="D4" s="1" t="s">
        <v>155</v>
      </c>
      <c r="E4" s="1" t="s">
        <v>115</v>
      </c>
      <c r="F4" s="9" t="s">
        <v>94</v>
      </c>
      <c r="G4" s="1" t="s">
        <v>59</v>
      </c>
      <c r="H4" s="9" t="s">
        <v>172</v>
      </c>
      <c r="I4" s="11">
        <v>0.57106924695857497</v>
      </c>
    </row>
    <row r="5" spans="1:14">
      <c r="A5" s="6">
        <v>268000</v>
      </c>
      <c r="B5" s="6">
        <v>196</v>
      </c>
      <c r="C5" s="15">
        <v>1367.3469387755101</v>
      </c>
      <c r="D5" s="1" t="s">
        <v>132</v>
      </c>
      <c r="E5" s="1" t="s">
        <v>76</v>
      </c>
      <c r="F5" s="9" t="s">
        <v>73</v>
      </c>
      <c r="G5" s="1" t="s">
        <v>30</v>
      </c>
      <c r="H5" s="9" t="s">
        <v>165</v>
      </c>
      <c r="I5" s="11">
        <v>0.62464455860004997</v>
      </c>
    </row>
    <row r="6" spans="1:14">
      <c r="A6" s="6">
        <v>249000</v>
      </c>
      <c r="B6" s="6">
        <v>176</v>
      </c>
      <c r="C6" s="15">
        <v>1414.7727272727273</v>
      </c>
      <c r="D6" s="1" t="s">
        <v>149</v>
      </c>
      <c r="E6" s="1" t="s">
        <v>109</v>
      </c>
      <c r="F6" s="9" t="s">
        <v>107</v>
      </c>
      <c r="G6" s="1" t="s">
        <v>52</v>
      </c>
      <c r="H6" s="9" t="s">
        <v>174</v>
      </c>
      <c r="I6" s="11">
        <v>0.63671139841256896</v>
      </c>
    </row>
    <row r="7" spans="1:14">
      <c r="A7" s="6">
        <v>155000</v>
      </c>
      <c r="B7" s="6">
        <v>118</v>
      </c>
      <c r="C7" s="15">
        <v>1313.5593220338983</v>
      </c>
      <c r="D7" s="1" t="s">
        <v>133</v>
      </c>
      <c r="E7" s="1" t="s">
        <v>77</v>
      </c>
      <c r="F7" s="9" t="s">
        <v>78</v>
      </c>
      <c r="G7" s="1" t="s">
        <v>31</v>
      </c>
      <c r="H7" s="9" t="s">
        <v>166</v>
      </c>
      <c r="I7" s="11">
        <v>0.64931256650217395</v>
      </c>
    </row>
    <row r="8" spans="1:14">
      <c r="A8" s="6">
        <v>135000</v>
      </c>
      <c r="B8" s="6">
        <v>118</v>
      </c>
      <c r="C8" s="15">
        <v>1144.0677966101696</v>
      </c>
      <c r="D8" s="1" t="s">
        <v>131</v>
      </c>
      <c r="E8" s="1" t="s">
        <v>74</v>
      </c>
      <c r="F8" s="9" t="s">
        <v>75</v>
      </c>
      <c r="G8" s="1" t="s">
        <v>29</v>
      </c>
      <c r="H8" s="9" t="s">
        <v>164</v>
      </c>
      <c r="I8" s="11">
        <v>0.650778041302713</v>
      </c>
    </row>
    <row r="9" spans="1:14">
      <c r="A9" s="6">
        <v>180000</v>
      </c>
      <c r="B9" s="6">
        <v>121</v>
      </c>
      <c r="C9" s="15">
        <v>1487.6033057851239</v>
      </c>
      <c r="D9" s="1" t="s">
        <v>138</v>
      </c>
      <c r="E9" s="1" t="s">
        <v>88</v>
      </c>
      <c r="F9" s="9" t="s">
        <v>82</v>
      </c>
      <c r="G9" s="1" t="s">
        <v>37</v>
      </c>
      <c r="H9" s="9" t="s">
        <v>169</v>
      </c>
      <c r="I9" s="11">
        <v>0.65245759025663297</v>
      </c>
    </row>
    <row r="10" spans="1:14">
      <c r="A10" s="6">
        <v>205000</v>
      </c>
      <c r="B10" s="6">
        <v>138</v>
      </c>
      <c r="C10" s="15">
        <v>1485.5072463768115</v>
      </c>
      <c r="D10" s="1" t="s">
        <v>137</v>
      </c>
      <c r="E10" s="1" t="s">
        <v>108</v>
      </c>
      <c r="F10" s="9" t="s">
        <v>107</v>
      </c>
      <c r="G10" s="1" t="s">
        <v>51</v>
      </c>
      <c r="H10" s="9" t="s">
        <v>174</v>
      </c>
      <c r="I10" s="11">
        <v>0.66854511538110295</v>
      </c>
    </row>
    <row r="11" spans="1:14">
      <c r="A11" s="6">
        <v>145000</v>
      </c>
      <c r="B11" s="6">
        <v>100</v>
      </c>
      <c r="C11" s="15">
        <v>1450</v>
      </c>
      <c r="D11" s="1" t="s">
        <v>147</v>
      </c>
      <c r="E11" s="1" t="s">
        <v>102</v>
      </c>
      <c r="F11" s="9" t="s">
        <v>103</v>
      </c>
      <c r="G11" s="1" t="s">
        <v>47</v>
      </c>
      <c r="H11" s="9" t="s">
        <v>167</v>
      </c>
      <c r="I11" s="11">
        <v>0.70251937984496104</v>
      </c>
    </row>
    <row r="12" spans="1:14">
      <c r="A12" s="6">
        <v>240000</v>
      </c>
      <c r="B12" s="6">
        <v>170</v>
      </c>
      <c r="C12" s="15">
        <v>1411.7647058823529</v>
      </c>
      <c r="D12" s="1" t="s">
        <v>137</v>
      </c>
      <c r="E12" s="1" t="s">
        <v>87</v>
      </c>
      <c r="F12" s="9" t="s">
        <v>80</v>
      </c>
      <c r="G12" s="1" t="s">
        <v>36</v>
      </c>
      <c r="H12" s="9" t="s">
        <v>168</v>
      </c>
      <c r="I12" s="11">
        <v>0.70447340612891896</v>
      </c>
    </row>
    <row r="13" spans="1:14">
      <c r="A13" s="6">
        <v>450000</v>
      </c>
      <c r="B13" s="6">
        <v>312</v>
      </c>
      <c r="C13" s="15">
        <v>1442.3076923076924</v>
      </c>
      <c r="D13" s="1" t="s">
        <v>152</v>
      </c>
      <c r="E13" s="1" t="s">
        <v>113</v>
      </c>
      <c r="F13" s="9" t="s">
        <v>101</v>
      </c>
      <c r="G13" s="1" t="s">
        <v>56</v>
      </c>
      <c r="H13" s="9" t="s">
        <v>142</v>
      </c>
      <c r="I13" s="11">
        <v>0.73737612081170401</v>
      </c>
    </row>
    <row r="14" spans="1:14">
      <c r="A14" s="6">
        <v>165000</v>
      </c>
      <c r="B14" s="6">
        <v>100</v>
      </c>
      <c r="C14" s="15">
        <v>1650</v>
      </c>
      <c r="D14" s="1" t="s">
        <v>136</v>
      </c>
      <c r="E14" s="1" t="s">
        <v>129</v>
      </c>
      <c r="F14" s="9" t="s">
        <v>107</v>
      </c>
      <c r="G14" s="1" t="s">
        <v>71</v>
      </c>
      <c r="H14" s="9" t="s">
        <v>174</v>
      </c>
      <c r="I14" s="11">
        <v>0.74257425742574301</v>
      </c>
    </row>
    <row r="15" spans="1:14">
      <c r="A15" s="6">
        <v>104900</v>
      </c>
      <c r="B15" s="6">
        <v>105</v>
      </c>
      <c r="C15" s="15">
        <v>999.04761904761904</v>
      </c>
      <c r="D15" s="1" t="s">
        <v>159</v>
      </c>
      <c r="E15" s="1" t="s">
        <v>122</v>
      </c>
      <c r="F15" s="9" t="s">
        <v>117</v>
      </c>
      <c r="G15" s="2" t="s">
        <v>65</v>
      </c>
      <c r="H15" s="9" t="s">
        <v>176</v>
      </c>
      <c r="I15" s="11">
        <v>0.75628131646299701</v>
      </c>
    </row>
    <row r="16" spans="1:14">
      <c r="A16" s="6">
        <v>449000</v>
      </c>
      <c r="B16" s="6">
        <v>209</v>
      </c>
      <c r="C16" s="15">
        <v>2148.3253588516745</v>
      </c>
      <c r="D16" s="1" t="s">
        <v>160</v>
      </c>
      <c r="E16" s="1" t="s">
        <v>123</v>
      </c>
      <c r="F16" s="9" t="s">
        <v>124</v>
      </c>
      <c r="G16" s="1" t="s">
        <v>66</v>
      </c>
      <c r="H16" s="9" t="s">
        <v>172</v>
      </c>
      <c r="I16" s="11">
        <v>0.77194587094921796</v>
      </c>
    </row>
    <row r="17" spans="1:9">
      <c r="A17" s="6">
        <v>199000</v>
      </c>
      <c r="B17" s="6">
        <v>124</v>
      </c>
      <c r="C17" s="15">
        <v>1604.8387096774193</v>
      </c>
      <c r="D17" s="1" t="s">
        <v>147</v>
      </c>
      <c r="E17" s="1" t="s">
        <v>105</v>
      </c>
      <c r="F17" s="9" t="s">
        <v>80</v>
      </c>
      <c r="G17" s="1" t="s">
        <v>49</v>
      </c>
      <c r="H17" s="9" t="s">
        <v>168</v>
      </c>
      <c r="I17" s="11">
        <v>0.80081771939990998</v>
      </c>
    </row>
    <row r="18" spans="1:9">
      <c r="A18" s="6">
        <v>218000</v>
      </c>
      <c r="B18" s="6">
        <v>130</v>
      </c>
      <c r="C18" s="15">
        <v>1676.9230769230769</v>
      </c>
      <c r="D18" s="1" t="s">
        <v>134</v>
      </c>
      <c r="E18" s="1" t="s">
        <v>79</v>
      </c>
      <c r="F18" s="9" t="s">
        <v>80</v>
      </c>
      <c r="G18" s="1" t="s">
        <v>32</v>
      </c>
      <c r="H18" s="9" t="s">
        <v>167</v>
      </c>
      <c r="I18" s="11">
        <v>0.81246273106738198</v>
      </c>
    </row>
    <row r="19" spans="1:9">
      <c r="A19" s="6">
        <v>348000</v>
      </c>
      <c r="B19" s="6">
        <v>152</v>
      </c>
      <c r="C19" s="15">
        <v>2289.4736842105262</v>
      </c>
      <c r="D19" s="1" t="s">
        <v>134</v>
      </c>
      <c r="E19" s="1" t="s">
        <v>120</v>
      </c>
      <c r="F19" s="9" t="s">
        <v>94</v>
      </c>
      <c r="G19" s="1" t="s">
        <v>63</v>
      </c>
      <c r="H19" s="9" t="s">
        <v>172</v>
      </c>
      <c r="I19" s="11">
        <v>0.82266391814966799</v>
      </c>
    </row>
    <row r="20" spans="1:9">
      <c r="A20" s="6">
        <v>109000</v>
      </c>
      <c r="B20" s="6">
        <v>90</v>
      </c>
      <c r="C20" s="15">
        <v>1211.1111111111111</v>
      </c>
      <c r="D20" s="1" t="s">
        <v>161</v>
      </c>
      <c r="E20" s="1" t="s">
        <v>128</v>
      </c>
      <c r="F20" s="9" t="s">
        <v>90</v>
      </c>
      <c r="G20" s="1" t="s">
        <v>70</v>
      </c>
      <c r="H20" s="9" t="s">
        <v>175</v>
      </c>
      <c r="I20" s="11">
        <v>0.83009671769096005</v>
      </c>
    </row>
    <row r="21" spans="1:9">
      <c r="A21" s="6">
        <v>270000</v>
      </c>
      <c r="B21" s="6">
        <v>140</v>
      </c>
      <c r="C21" s="15">
        <v>1928.5714285714287</v>
      </c>
      <c r="D21" s="1" t="s">
        <v>138</v>
      </c>
      <c r="E21" s="1" t="s">
        <v>126</v>
      </c>
      <c r="F21" s="9" t="s">
        <v>82</v>
      </c>
      <c r="G21" s="1" t="s">
        <v>68</v>
      </c>
      <c r="H21" s="9" t="s">
        <v>169</v>
      </c>
      <c r="I21" s="11">
        <v>0.84586466165413499</v>
      </c>
    </row>
    <row r="22" spans="1:9">
      <c r="A22" s="6">
        <v>360000</v>
      </c>
      <c r="B22" s="6">
        <v>173.5</v>
      </c>
      <c r="C22" s="15">
        <v>2074.9279538904898</v>
      </c>
      <c r="D22" s="1" t="s">
        <v>156</v>
      </c>
      <c r="E22" s="1" t="s">
        <v>99</v>
      </c>
      <c r="F22" s="9" t="s">
        <v>92</v>
      </c>
      <c r="G22" s="1" t="s">
        <v>60</v>
      </c>
      <c r="H22" s="9" t="s">
        <v>170</v>
      </c>
      <c r="I22" s="11">
        <v>0.87846230054635499</v>
      </c>
    </row>
    <row r="23" spans="1:9">
      <c r="A23" s="6">
        <v>439000</v>
      </c>
      <c r="B23" s="6">
        <v>207</v>
      </c>
      <c r="C23" s="15">
        <v>2120.7729468599032</v>
      </c>
      <c r="D23" s="1" t="s">
        <v>140</v>
      </c>
      <c r="E23" s="1" t="s">
        <v>91</v>
      </c>
      <c r="F23" s="9" t="s">
        <v>92</v>
      </c>
      <c r="G23" s="1" t="s">
        <v>39</v>
      </c>
      <c r="H23" s="9" t="s">
        <v>170</v>
      </c>
      <c r="I23" s="11">
        <v>0.89787169638437903</v>
      </c>
    </row>
    <row r="24" spans="1:9">
      <c r="A24" s="6">
        <v>218000</v>
      </c>
      <c r="B24" s="6">
        <v>132</v>
      </c>
      <c r="C24" s="15">
        <v>1651.5151515151515</v>
      </c>
      <c r="D24" s="1" t="s">
        <v>157</v>
      </c>
      <c r="E24" s="1" t="s">
        <v>116</v>
      </c>
      <c r="F24" s="9" t="s">
        <v>117</v>
      </c>
      <c r="G24" s="1" t="s">
        <v>61</v>
      </c>
      <c r="H24" s="9" t="s">
        <v>164</v>
      </c>
      <c r="I24" s="11">
        <v>0.93942841383114395</v>
      </c>
    </row>
    <row r="25" spans="1:9">
      <c r="A25" s="6">
        <v>185000</v>
      </c>
      <c r="B25" s="6">
        <v>97</v>
      </c>
      <c r="C25" s="15">
        <v>1907.2164948453608</v>
      </c>
      <c r="D25" s="1" t="s">
        <v>145</v>
      </c>
      <c r="E25" s="1" t="s">
        <v>98</v>
      </c>
      <c r="F25" s="9" t="s">
        <v>75</v>
      </c>
      <c r="G25" s="1" t="s">
        <v>44</v>
      </c>
      <c r="H25" s="9" t="s">
        <v>166</v>
      </c>
      <c r="I25" s="11">
        <v>0.94276643343814204</v>
      </c>
    </row>
    <row r="26" spans="1:9">
      <c r="A26" s="6">
        <v>269000</v>
      </c>
      <c r="B26" s="6">
        <v>98.5</v>
      </c>
      <c r="C26" s="15">
        <v>2730.9644670050761</v>
      </c>
      <c r="D26" s="1" t="s">
        <v>143</v>
      </c>
      <c r="E26" s="1" t="s">
        <v>96</v>
      </c>
      <c r="F26" s="9" t="s">
        <v>94</v>
      </c>
      <c r="G26" s="1" t="s">
        <v>42</v>
      </c>
      <c r="H26" s="9" t="s">
        <v>172</v>
      </c>
      <c r="I26" s="11">
        <v>0.98130235968561796</v>
      </c>
    </row>
    <row r="27" spans="1:9">
      <c r="A27" s="6">
        <v>249000</v>
      </c>
      <c r="B27" s="6">
        <v>120</v>
      </c>
      <c r="C27" s="15">
        <v>2075</v>
      </c>
      <c r="D27" s="1" t="s">
        <v>149</v>
      </c>
      <c r="E27" s="1" t="s">
        <v>106</v>
      </c>
      <c r="F27" s="9" t="s">
        <v>107</v>
      </c>
      <c r="G27" s="1" t="s">
        <v>50</v>
      </c>
      <c r="H27" s="9" t="s">
        <v>167</v>
      </c>
      <c r="I27" s="11">
        <v>1.0053294573643401</v>
      </c>
    </row>
    <row r="28" spans="1:9">
      <c r="A28" s="6">
        <v>329000</v>
      </c>
      <c r="B28" s="6">
        <v>138</v>
      </c>
      <c r="C28" s="15">
        <v>2384.057971014493</v>
      </c>
      <c r="D28" s="1" t="s">
        <v>132</v>
      </c>
      <c r="E28" s="1" t="s">
        <v>99</v>
      </c>
      <c r="F28" s="9" t="s">
        <v>92</v>
      </c>
      <c r="G28" s="1" t="s">
        <v>45</v>
      </c>
      <c r="H28" s="9" t="s">
        <v>170</v>
      </c>
      <c r="I28" s="11">
        <v>1.0093386837487299</v>
      </c>
    </row>
    <row r="29" spans="1:9">
      <c r="A29" s="6">
        <v>278000</v>
      </c>
      <c r="B29" s="6">
        <v>120</v>
      </c>
      <c r="C29" s="15">
        <v>2316.6666666666665</v>
      </c>
      <c r="D29" s="1" t="s">
        <v>142</v>
      </c>
      <c r="E29" s="1" t="s">
        <v>127</v>
      </c>
      <c r="F29" s="9" t="s">
        <v>82</v>
      </c>
      <c r="G29" s="1" t="s">
        <v>69</v>
      </c>
      <c r="H29" s="9" t="s">
        <v>169</v>
      </c>
      <c r="I29" s="11">
        <v>1.0160818713450299</v>
      </c>
    </row>
    <row r="30" spans="1:9">
      <c r="A30" s="6">
        <v>99000</v>
      </c>
      <c r="B30" s="6">
        <v>81</v>
      </c>
      <c r="C30" s="15">
        <v>1222.2222222222222</v>
      </c>
      <c r="D30" s="1" t="s">
        <v>150</v>
      </c>
      <c r="E30" s="1" t="s">
        <v>110</v>
      </c>
      <c r="F30" s="9" t="s">
        <v>78</v>
      </c>
      <c r="G30" s="1" t="s">
        <v>53</v>
      </c>
      <c r="H30" s="9" t="s">
        <v>173</v>
      </c>
      <c r="I30" s="11">
        <v>1.02021888332406</v>
      </c>
    </row>
    <row r="31" spans="1:9">
      <c r="A31" s="6">
        <v>339000</v>
      </c>
      <c r="B31" s="6">
        <v>150</v>
      </c>
      <c r="C31" s="15">
        <v>2260</v>
      </c>
      <c r="D31" s="1" t="s">
        <v>135</v>
      </c>
      <c r="E31" s="1" t="s">
        <v>83</v>
      </c>
      <c r="F31" s="9" t="s">
        <v>84</v>
      </c>
      <c r="G31" s="2" t="s">
        <v>34</v>
      </c>
      <c r="H31" s="9" t="s">
        <v>167</v>
      </c>
      <c r="I31" s="11">
        <v>1.0949612403100799</v>
      </c>
    </row>
    <row r="32" spans="1:9">
      <c r="A32" s="6">
        <v>435000</v>
      </c>
      <c r="B32" s="6">
        <v>191</v>
      </c>
      <c r="C32" s="15">
        <v>2277.4869109947645</v>
      </c>
      <c r="D32" s="1" t="s">
        <v>136</v>
      </c>
      <c r="E32" s="1" t="s">
        <v>85</v>
      </c>
      <c r="F32" s="9" t="s">
        <v>86</v>
      </c>
      <c r="G32" s="2" t="s">
        <v>35</v>
      </c>
      <c r="H32" s="9" t="s">
        <v>167</v>
      </c>
      <c r="I32" s="11">
        <v>1.10343358090832</v>
      </c>
    </row>
    <row r="33" spans="1:9">
      <c r="A33" s="6">
        <v>165000</v>
      </c>
      <c r="B33" s="6">
        <v>106</v>
      </c>
      <c r="C33" s="15">
        <v>1556.6037735849056</v>
      </c>
      <c r="D33" s="1" t="s">
        <v>145</v>
      </c>
      <c r="E33" s="1" t="s">
        <v>125</v>
      </c>
      <c r="F33" s="9" t="s">
        <v>117</v>
      </c>
      <c r="G33" s="1" t="s">
        <v>67</v>
      </c>
      <c r="H33" s="9" t="s">
        <v>176</v>
      </c>
      <c r="I33" s="11">
        <v>1.17835259166155</v>
      </c>
    </row>
    <row r="34" spans="1:9">
      <c r="A34" s="6">
        <v>265000</v>
      </c>
      <c r="B34" s="6">
        <v>90</v>
      </c>
      <c r="C34" s="15">
        <v>2944.4444444444443</v>
      </c>
      <c r="D34" s="1" t="s">
        <v>146</v>
      </c>
      <c r="E34" s="1" t="s">
        <v>100</v>
      </c>
      <c r="F34" s="9" t="s">
        <v>101</v>
      </c>
      <c r="G34" s="1" t="s">
        <v>46</v>
      </c>
      <c r="H34" s="9" t="s">
        <v>170</v>
      </c>
      <c r="I34" s="11">
        <v>1.24658951923982</v>
      </c>
    </row>
    <row r="35" spans="1:9">
      <c r="A35" s="6">
        <v>225000</v>
      </c>
      <c r="B35" s="6">
        <v>147</v>
      </c>
      <c r="C35" s="15">
        <v>1530.6122448979593</v>
      </c>
      <c r="D35" s="1" t="s">
        <v>144</v>
      </c>
      <c r="E35" s="1" t="s">
        <v>97</v>
      </c>
      <c r="F35" s="9" t="s">
        <v>78</v>
      </c>
      <c r="G35" s="2" t="s">
        <v>43</v>
      </c>
      <c r="H35" s="9" t="s">
        <v>173</v>
      </c>
      <c r="I35" s="11">
        <v>1.2776396034206701</v>
      </c>
    </row>
    <row r="36" spans="1:9">
      <c r="A36" s="6">
        <v>269000</v>
      </c>
      <c r="B36" s="6">
        <v>100</v>
      </c>
      <c r="C36" s="15">
        <v>2690</v>
      </c>
      <c r="D36" s="1" t="s">
        <v>132</v>
      </c>
      <c r="E36" s="1" t="s">
        <v>121</v>
      </c>
      <c r="F36" s="9" t="s">
        <v>80</v>
      </c>
      <c r="G36" s="1" t="s">
        <v>64</v>
      </c>
      <c r="H36" s="9" t="s">
        <v>168</v>
      </c>
      <c r="I36" s="11">
        <v>1.34231536926148</v>
      </c>
    </row>
    <row r="37" spans="1:9">
      <c r="A37" s="6">
        <v>278000</v>
      </c>
      <c r="B37" s="6">
        <v>170</v>
      </c>
      <c r="C37" s="15">
        <v>1635.2941176470588</v>
      </c>
      <c r="D37" s="1" t="s">
        <v>148</v>
      </c>
      <c r="E37" s="1" t="s">
        <v>104</v>
      </c>
      <c r="F37" s="9" t="s">
        <v>78</v>
      </c>
      <c r="G37" s="1" t="s">
        <v>48</v>
      </c>
      <c r="H37" s="9" t="s">
        <v>173</v>
      </c>
      <c r="I37" s="11">
        <v>1.36502013159187</v>
      </c>
    </row>
    <row r="38" spans="1:9">
      <c r="A38" s="6">
        <v>335000</v>
      </c>
      <c r="B38" s="6">
        <v>135</v>
      </c>
      <c r="C38" s="15">
        <v>2481.4814814814813</v>
      </c>
      <c r="D38" s="1" t="s">
        <v>139</v>
      </c>
      <c r="E38" s="1" t="s">
        <v>89</v>
      </c>
      <c r="F38" s="9" t="s">
        <v>90</v>
      </c>
      <c r="G38" s="1" t="s">
        <v>38</v>
      </c>
      <c r="H38" s="9" t="s">
        <v>164</v>
      </c>
      <c r="I38" s="11">
        <v>1.41153667888594</v>
      </c>
    </row>
    <row r="39" spans="1:9">
      <c r="A39" s="6">
        <v>368000</v>
      </c>
      <c r="B39" s="6">
        <v>165</v>
      </c>
      <c r="C39" s="15">
        <v>2230.3030303030305</v>
      </c>
      <c r="D39" s="1" t="s">
        <v>151</v>
      </c>
      <c r="E39" s="1" t="s">
        <v>111</v>
      </c>
      <c r="F39" s="9" t="s">
        <v>90</v>
      </c>
      <c r="G39" s="1" t="s">
        <v>54</v>
      </c>
      <c r="H39" s="9" t="s">
        <v>175</v>
      </c>
      <c r="I39" s="11">
        <v>1.5286518370822699</v>
      </c>
    </row>
    <row r="40" spans="1:9">
      <c r="A40" s="6">
        <v>397000</v>
      </c>
      <c r="B40" s="6">
        <v>110</v>
      </c>
      <c r="C40" s="15">
        <v>3609.090909090909</v>
      </c>
      <c r="D40" s="1" t="s">
        <v>142</v>
      </c>
      <c r="E40" s="1" t="s">
        <v>95</v>
      </c>
      <c r="F40" s="9" t="s">
        <v>84</v>
      </c>
      <c r="G40" s="1" t="s">
        <v>41</v>
      </c>
      <c r="H40" s="9" t="s">
        <v>171</v>
      </c>
      <c r="I40" s="11">
        <v>1.6293864149394599</v>
      </c>
    </row>
    <row r="41" spans="1:9">
      <c r="A41" s="6">
        <v>242000</v>
      </c>
      <c r="B41" s="6">
        <v>114</v>
      </c>
      <c r="C41" s="15">
        <v>2122.8070175438597</v>
      </c>
      <c r="D41" s="1" t="s">
        <v>153</v>
      </c>
      <c r="E41" s="1" t="s">
        <v>114</v>
      </c>
      <c r="F41" s="9" t="s">
        <v>78</v>
      </c>
      <c r="G41" s="1" t="s">
        <v>57</v>
      </c>
      <c r="H41" s="9" t="s">
        <v>173</v>
      </c>
      <c r="I41" s="11">
        <v>1.77195911314179</v>
      </c>
    </row>
    <row r="42" spans="1:9">
      <c r="A42" s="6">
        <v>339000</v>
      </c>
      <c r="B42" s="6">
        <v>80</v>
      </c>
      <c r="C42" s="15">
        <v>4237.5</v>
      </c>
      <c r="D42" s="1" t="s">
        <v>158</v>
      </c>
      <c r="E42" s="1" t="s">
        <v>118</v>
      </c>
      <c r="F42" s="9" t="s">
        <v>119</v>
      </c>
      <c r="G42" s="1" t="s">
        <v>62</v>
      </c>
      <c r="H42" s="9" t="s">
        <v>170</v>
      </c>
      <c r="I42" s="11">
        <v>1.7940304826418301</v>
      </c>
    </row>
    <row r="43" spans="1:9">
      <c r="A43" s="6">
        <v>328000</v>
      </c>
      <c r="B43" s="6">
        <v>85.5</v>
      </c>
      <c r="C43" s="15">
        <v>3836.2573099415204</v>
      </c>
      <c r="D43" s="1" t="s">
        <v>134</v>
      </c>
      <c r="E43" s="1" t="s">
        <v>81</v>
      </c>
      <c r="F43" s="9" t="s">
        <v>82</v>
      </c>
      <c r="G43" s="1" t="s">
        <v>33</v>
      </c>
      <c r="H43" s="9" t="s">
        <v>167</v>
      </c>
      <c r="I43" s="11">
        <v>1.85865179745229</v>
      </c>
    </row>
    <row r="44" spans="1:9">
      <c r="A44" s="6">
        <v>257000</v>
      </c>
      <c r="B44" s="6">
        <v>115</v>
      </c>
      <c r="C44" s="15">
        <v>2234.782608695652</v>
      </c>
      <c r="D44" s="4" t="s">
        <v>154</v>
      </c>
      <c r="E44" s="1" t="s">
        <v>110</v>
      </c>
      <c r="F44" s="9" t="s">
        <v>78</v>
      </c>
      <c r="G44" s="1" t="s">
        <v>58</v>
      </c>
      <c r="H44" s="9" t="s">
        <v>173</v>
      </c>
      <c r="I44" s="11">
        <v>1.86542788705814</v>
      </c>
    </row>
    <row r="45" spans="1:9">
      <c r="A45" s="6">
        <v>435000</v>
      </c>
      <c r="B45" s="6">
        <v>120.5</v>
      </c>
      <c r="C45" s="15">
        <v>3609.9585062240662</v>
      </c>
      <c r="D45" s="1" t="s">
        <v>151</v>
      </c>
      <c r="E45" s="1" t="s">
        <v>112</v>
      </c>
      <c r="F45" s="9" t="s">
        <v>90</v>
      </c>
      <c r="G45" s="1" t="s">
        <v>55</v>
      </c>
      <c r="H45" s="9" t="s">
        <v>175</v>
      </c>
      <c r="I45" s="11">
        <v>2.4742690241426102</v>
      </c>
    </row>
    <row r="52" spans="3:7">
      <c r="C52" s="16"/>
    </row>
    <row r="54" spans="3:7">
      <c r="G54" s="2"/>
    </row>
    <row r="55" spans="3:7">
      <c r="D55" s="4"/>
    </row>
    <row r="65" spans="7:7">
      <c r="G65" s="2"/>
    </row>
    <row r="75" spans="7:7">
      <c r="G75" s="2"/>
    </row>
    <row r="80" spans="7:7">
      <c r="G80" s="3"/>
    </row>
    <row r="102" spans="3:7">
      <c r="C102" s="16"/>
    </row>
    <row r="107" spans="3:7">
      <c r="G107" s="2"/>
    </row>
    <row r="108" spans="3:7">
      <c r="G108" s="2"/>
    </row>
  </sheetData>
  <autoFilter ref="A1:I101" xr:uid="{01E3A799-F893-4D1B-B952-E6D483D84822}">
    <sortState xmlns:xlrd2="http://schemas.microsoft.com/office/spreadsheetml/2017/richdata2" ref="A2:I101">
      <sortCondition ref="I1:I101"/>
    </sortState>
  </autoFilter>
  <conditionalFormatting sqref="I1:I1048576"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A627-6E93-42D8-91D6-9B0EC967C126}">
  <dimension ref="A1:N108"/>
  <sheetViews>
    <sheetView tabSelected="1"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E28" sqref="E28"/>
    </sheetView>
  </sheetViews>
  <sheetFormatPr defaultColWidth="8.7265625" defaultRowHeight="14.5"/>
  <cols>
    <col min="1" max="1" width="7.54296875" style="6" bestFit="1" customWidth="1"/>
    <col min="2" max="2" width="10.36328125" style="6" bestFit="1" customWidth="1"/>
    <col min="3" max="3" width="11.6328125" style="15" bestFit="1" customWidth="1"/>
    <col min="4" max="4" width="15.6328125" style="1" bestFit="1" customWidth="1"/>
    <col min="5" max="5" width="18" style="1" bestFit="1" customWidth="1"/>
    <col min="6" max="6" width="16" style="9" bestFit="1" customWidth="1"/>
    <col min="7" max="7" width="52" style="1" bestFit="1" customWidth="1"/>
    <col min="8" max="8" width="20.08984375" style="9" bestFit="1" customWidth="1"/>
    <col min="9" max="9" width="13.7265625" style="11" bestFit="1" customWidth="1"/>
    <col min="10" max="10" width="9.54296875" style="13" bestFit="1" customWidth="1"/>
    <col min="11" max="11" width="9.26953125" style="13" bestFit="1" customWidth="1"/>
    <col min="12" max="12" width="19.26953125" style="9" bestFit="1" customWidth="1"/>
    <col min="13" max="13" width="10.6328125" style="1" bestFit="1" customWidth="1"/>
    <col min="14" max="14" width="8" style="1" bestFit="1" customWidth="1"/>
    <col min="15" max="16384" width="8.7265625" style="1"/>
  </cols>
  <sheetData>
    <row r="1" spans="1:14">
      <c r="A1" s="7" t="s">
        <v>22</v>
      </c>
      <c r="B1" s="7" t="s">
        <v>23</v>
      </c>
      <c r="C1" s="14" t="s">
        <v>4</v>
      </c>
      <c r="D1" s="5" t="s">
        <v>2</v>
      </c>
      <c r="E1" s="5" t="s">
        <v>3</v>
      </c>
      <c r="F1" s="8" t="s">
        <v>0</v>
      </c>
      <c r="G1" s="5" t="s">
        <v>1</v>
      </c>
      <c r="H1" s="8" t="s">
        <v>24</v>
      </c>
      <c r="I1" s="10" t="s">
        <v>8</v>
      </c>
      <c r="J1" s="12" t="s">
        <v>5</v>
      </c>
      <c r="K1" s="12" t="s">
        <v>6</v>
      </c>
      <c r="L1" s="8" t="s">
        <v>7</v>
      </c>
      <c r="M1" s="5" t="s">
        <v>9</v>
      </c>
      <c r="N1" s="5" t="s">
        <v>10</v>
      </c>
    </row>
    <row r="2" spans="1:14">
      <c r="A2" s="6">
        <v>84000</v>
      </c>
      <c r="B2" s="6">
        <v>158</v>
      </c>
      <c r="C2" s="15">
        <v>531.64556962025313</v>
      </c>
      <c r="D2" s="1" t="s">
        <v>237</v>
      </c>
      <c r="E2" s="1" t="s">
        <v>204</v>
      </c>
      <c r="F2" s="9" t="s">
        <v>205</v>
      </c>
      <c r="G2" s="1" t="s">
        <v>177</v>
      </c>
      <c r="H2" s="9" t="s">
        <v>163</v>
      </c>
      <c r="I2" s="11">
        <v>0.138305299068744</v>
      </c>
      <c r="J2" s="13">
        <f>IFERROR(AVERAGE(C:C),0)</f>
        <v>1751.7492479727971</v>
      </c>
      <c r="K2" s="13">
        <f>IFERROR(MEDIAN(C:C),0)</f>
        <v>1658.3850931677018</v>
      </c>
      <c r="L2" s="9" t="s">
        <v>162</v>
      </c>
      <c r="M2" s="1" t="s">
        <v>20</v>
      </c>
      <c r="N2" s="1" t="s">
        <v>21</v>
      </c>
    </row>
    <row r="3" spans="1:14">
      <c r="A3" s="6">
        <v>85000</v>
      </c>
      <c r="B3" s="6">
        <v>311</v>
      </c>
      <c r="C3" s="15">
        <v>273.31189710610931</v>
      </c>
      <c r="D3" s="1" t="s">
        <v>137</v>
      </c>
      <c r="E3" s="1" t="s">
        <v>233</v>
      </c>
      <c r="F3" s="9" t="s">
        <v>217</v>
      </c>
      <c r="G3" s="1" t="s">
        <v>200</v>
      </c>
      <c r="H3" s="9" t="s">
        <v>255</v>
      </c>
      <c r="I3" s="11">
        <v>0.21007832214151401</v>
      </c>
    </row>
    <row r="4" spans="1:14">
      <c r="A4" s="6">
        <v>429000</v>
      </c>
      <c r="B4" s="6">
        <v>598</v>
      </c>
      <c r="C4" s="15">
        <v>717.39130434782612</v>
      </c>
      <c r="D4" s="1" t="s">
        <v>250</v>
      </c>
      <c r="E4" s="1" t="s">
        <v>234</v>
      </c>
      <c r="F4" s="9" t="s">
        <v>78</v>
      </c>
      <c r="G4" s="1" t="s">
        <v>201</v>
      </c>
      <c r="H4" s="9" t="s">
        <v>167</v>
      </c>
      <c r="I4" s="11">
        <v>0.347573306370071</v>
      </c>
    </row>
    <row r="5" spans="1:14">
      <c r="A5" s="6">
        <v>179000</v>
      </c>
      <c r="B5" s="6">
        <v>181.2</v>
      </c>
      <c r="C5" s="15">
        <v>987.85871964679916</v>
      </c>
      <c r="D5" s="1" t="s">
        <v>247</v>
      </c>
      <c r="E5" s="1" t="s">
        <v>235</v>
      </c>
      <c r="F5" s="9" t="s">
        <v>232</v>
      </c>
      <c r="G5" s="1" t="s">
        <v>202</v>
      </c>
      <c r="H5" s="9" t="s">
        <v>167</v>
      </c>
      <c r="I5" s="11">
        <v>0.47861372075910802</v>
      </c>
    </row>
    <row r="6" spans="1:14">
      <c r="A6" s="6">
        <v>99000</v>
      </c>
      <c r="B6" s="6">
        <v>100</v>
      </c>
      <c r="C6" s="15">
        <v>990</v>
      </c>
      <c r="D6" s="1" t="s">
        <v>147</v>
      </c>
      <c r="E6" s="1" t="s">
        <v>216</v>
      </c>
      <c r="F6" s="9" t="s">
        <v>217</v>
      </c>
      <c r="G6" s="1" t="s">
        <v>184</v>
      </c>
      <c r="H6" s="9" t="s">
        <v>241</v>
      </c>
      <c r="I6" s="11">
        <v>0.51295336787564805</v>
      </c>
    </row>
    <row r="7" spans="1:14">
      <c r="A7" s="6">
        <v>119000</v>
      </c>
      <c r="B7" s="6">
        <v>119</v>
      </c>
      <c r="C7" s="15">
        <v>1000</v>
      </c>
      <c r="D7" s="1" t="s">
        <v>245</v>
      </c>
      <c r="E7" s="1" t="s">
        <v>228</v>
      </c>
      <c r="F7" s="9" t="s">
        <v>209</v>
      </c>
      <c r="G7" s="1" t="s">
        <v>196</v>
      </c>
      <c r="H7" s="9" t="s">
        <v>253</v>
      </c>
      <c r="I7" s="11">
        <v>0.53361792956243304</v>
      </c>
    </row>
    <row r="8" spans="1:14">
      <c r="A8" s="6">
        <v>219000</v>
      </c>
      <c r="B8" s="6">
        <v>180</v>
      </c>
      <c r="C8" s="15">
        <v>1216.6666666666667</v>
      </c>
      <c r="D8" s="1" t="s">
        <v>245</v>
      </c>
      <c r="E8" s="1" t="s">
        <v>225</v>
      </c>
      <c r="F8" s="9" t="s">
        <v>209</v>
      </c>
      <c r="G8" s="1" t="s">
        <v>192</v>
      </c>
      <c r="H8" s="9" t="s">
        <v>253</v>
      </c>
      <c r="I8" s="11">
        <v>0.64923514763429402</v>
      </c>
    </row>
    <row r="9" spans="1:14">
      <c r="A9" s="6">
        <v>268000</v>
      </c>
      <c r="B9" s="6">
        <v>250</v>
      </c>
      <c r="C9" s="15">
        <v>1072</v>
      </c>
      <c r="D9" s="1" t="s">
        <v>132</v>
      </c>
      <c r="E9" s="1" t="s">
        <v>222</v>
      </c>
      <c r="F9" s="9" t="s">
        <v>212</v>
      </c>
      <c r="G9" s="1" t="s">
        <v>189</v>
      </c>
      <c r="H9" s="9" t="s">
        <v>254</v>
      </c>
      <c r="I9" s="11">
        <v>0.78997789240972704</v>
      </c>
    </row>
    <row r="10" spans="1:14">
      <c r="A10" s="6">
        <v>179000</v>
      </c>
      <c r="B10" s="6">
        <v>165</v>
      </c>
      <c r="C10" s="15">
        <v>1084.8484848484848</v>
      </c>
      <c r="D10" s="1" t="s">
        <v>243</v>
      </c>
      <c r="E10" s="1" t="s">
        <v>221</v>
      </c>
      <c r="F10" s="9" t="s">
        <v>212</v>
      </c>
      <c r="G10" s="1" t="s">
        <v>188</v>
      </c>
      <c r="H10" s="9" t="s">
        <v>254</v>
      </c>
      <c r="I10" s="11">
        <v>0.79944619369822001</v>
      </c>
    </row>
    <row r="11" spans="1:14">
      <c r="A11" s="6">
        <v>349000</v>
      </c>
      <c r="B11" s="6">
        <v>217.5</v>
      </c>
      <c r="C11" s="15">
        <v>1604.5977011494253</v>
      </c>
      <c r="D11" s="1" t="s">
        <v>248</v>
      </c>
      <c r="E11" s="1" t="s">
        <v>230</v>
      </c>
      <c r="F11" s="9" t="s">
        <v>209</v>
      </c>
      <c r="G11" s="1" t="s">
        <v>198</v>
      </c>
      <c r="H11" s="9" t="s">
        <v>253</v>
      </c>
      <c r="I11" s="11">
        <v>0.85624210306799597</v>
      </c>
    </row>
    <row r="12" spans="1:14">
      <c r="A12" s="6">
        <v>279000</v>
      </c>
      <c r="B12" s="6">
        <v>228</v>
      </c>
      <c r="C12" s="15">
        <v>1223.6842105263158</v>
      </c>
      <c r="D12" s="1" t="s">
        <v>251</v>
      </c>
      <c r="E12" s="1" t="s">
        <v>236</v>
      </c>
      <c r="F12" s="9" t="s">
        <v>212</v>
      </c>
      <c r="G12" s="1" t="s">
        <v>203</v>
      </c>
      <c r="H12" s="9" t="s">
        <v>254</v>
      </c>
      <c r="I12" s="11">
        <v>0.90175697164798496</v>
      </c>
    </row>
    <row r="13" spans="1:14">
      <c r="A13" s="6">
        <v>459000</v>
      </c>
      <c r="B13" s="6">
        <v>224</v>
      </c>
      <c r="C13" s="15">
        <v>2049.1071428571427</v>
      </c>
      <c r="D13" s="1" t="s">
        <v>240</v>
      </c>
      <c r="E13" s="1" t="s">
        <v>218</v>
      </c>
      <c r="F13" s="9" t="s">
        <v>209</v>
      </c>
      <c r="G13" s="1" t="s">
        <v>185</v>
      </c>
      <c r="H13" s="9" t="s">
        <v>253</v>
      </c>
      <c r="I13" s="11">
        <v>1.09344031102302</v>
      </c>
    </row>
    <row r="14" spans="1:14">
      <c r="A14" s="6">
        <v>148000</v>
      </c>
      <c r="B14" s="6">
        <v>98</v>
      </c>
      <c r="C14" s="15">
        <v>1510.204081632653</v>
      </c>
      <c r="D14" s="1" t="s">
        <v>241</v>
      </c>
      <c r="E14" s="1" t="s">
        <v>219</v>
      </c>
      <c r="F14" s="9" t="s">
        <v>212</v>
      </c>
      <c r="G14" s="1" t="s">
        <v>186</v>
      </c>
      <c r="H14" s="9" t="s">
        <v>254</v>
      </c>
      <c r="I14" s="11">
        <v>1.1128991021611301</v>
      </c>
    </row>
    <row r="15" spans="1:14">
      <c r="A15" s="6">
        <v>385000</v>
      </c>
      <c r="B15" s="6">
        <v>182</v>
      </c>
      <c r="C15" s="15">
        <v>2115.3846153846152</v>
      </c>
      <c r="D15" s="1" t="s">
        <v>247</v>
      </c>
      <c r="E15" s="1" t="s">
        <v>229</v>
      </c>
      <c r="F15" s="9" t="s">
        <v>209</v>
      </c>
      <c r="G15" s="1" t="s">
        <v>197</v>
      </c>
      <c r="H15" s="9" t="s">
        <v>253</v>
      </c>
      <c r="I15" s="11">
        <v>1.1288071586897599</v>
      </c>
    </row>
    <row r="16" spans="1:14">
      <c r="A16" s="6">
        <v>368000</v>
      </c>
      <c r="B16" s="6">
        <v>160.1</v>
      </c>
      <c r="C16" s="15">
        <v>2298.5633978763276</v>
      </c>
      <c r="D16" s="1" t="s">
        <v>133</v>
      </c>
      <c r="E16" s="1" t="s">
        <v>215</v>
      </c>
      <c r="F16" s="9" t="s">
        <v>207</v>
      </c>
      <c r="G16" s="1" t="s">
        <v>183</v>
      </c>
      <c r="H16" s="9" t="s">
        <v>139</v>
      </c>
      <c r="I16" s="11">
        <v>1.14413309998822</v>
      </c>
    </row>
    <row r="17" spans="1:9">
      <c r="A17" s="6">
        <v>145000</v>
      </c>
      <c r="B17" s="6">
        <v>93</v>
      </c>
      <c r="C17" s="15">
        <v>1559.1397849462367</v>
      </c>
      <c r="D17" s="1" t="s">
        <v>246</v>
      </c>
      <c r="E17" s="1" t="s">
        <v>226</v>
      </c>
      <c r="F17" s="9" t="s">
        <v>217</v>
      </c>
      <c r="G17" s="1" t="s">
        <v>193</v>
      </c>
      <c r="H17" s="9" t="s">
        <v>255</v>
      </c>
      <c r="I17" s="11">
        <v>1.19841643731456</v>
      </c>
    </row>
    <row r="18" spans="1:9">
      <c r="A18" s="6">
        <v>178000</v>
      </c>
      <c r="B18" s="6">
        <v>84</v>
      </c>
      <c r="C18" s="15">
        <v>2119.0476190476193</v>
      </c>
      <c r="D18" s="1" t="s">
        <v>239</v>
      </c>
      <c r="E18" s="1" t="s">
        <v>211</v>
      </c>
      <c r="F18" s="9" t="s">
        <v>212</v>
      </c>
      <c r="G18" s="1" t="s">
        <v>181</v>
      </c>
      <c r="H18" s="9" t="s">
        <v>164</v>
      </c>
      <c r="I18" s="11">
        <v>1.20537407226827</v>
      </c>
    </row>
    <row r="19" spans="1:9">
      <c r="A19" s="6">
        <v>325000</v>
      </c>
      <c r="B19" s="6">
        <v>133</v>
      </c>
      <c r="C19" s="15">
        <v>2443.6090225563908</v>
      </c>
      <c r="D19" s="1" t="s">
        <v>249</v>
      </c>
      <c r="E19" s="1" t="s">
        <v>231</v>
      </c>
      <c r="F19" s="9" t="s">
        <v>232</v>
      </c>
      <c r="G19" s="1" t="s">
        <v>199</v>
      </c>
      <c r="H19" s="9" t="s">
        <v>164</v>
      </c>
      <c r="I19" s="11">
        <v>1.3899937557203601</v>
      </c>
    </row>
    <row r="20" spans="1:9">
      <c r="A20" s="6">
        <v>279500</v>
      </c>
      <c r="B20" s="6">
        <v>103</v>
      </c>
      <c r="C20" s="15">
        <v>2713.5922330097087</v>
      </c>
      <c r="D20" s="1" t="s">
        <v>139</v>
      </c>
      <c r="E20" s="1" t="s">
        <v>208</v>
      </c>
      <c r="F20" s="9" t="s">
        <v>209</v>
      </c>
      <c r="G20" s="1" t="s">
        <v>179</v>
      </c>
      <c r="H20" s="9" t="s">
        <v>241</v>
      </c>
      <c r="I20" s="11">
        <v>1.4060063383470001</v>
      </c>
    </row>
    <row r="21" spans="1:9">
      <c r="A21" s="6">
        <v>448000</v>
      </c>
      <c r="B21" s="6">
        <v>158</v>
      </c>
      <c r="C21" s="15">
        <v>2835.4430379746836</v>
      </c>
      <c r="D21" s="1" t="s">
        <v>242</v>
      </c>
      <c r="E21" s="1" t="s">
        <v>220</v>
      </c>
      <c r="F21" s="9" t="s">
        <v>207</v>
      </c>
      <c r="G21" s="1" t="s">
        <v>187</v>
      </c>
      <c r="H21" s="9" t="s">
        <v>139</v>
      </c>
      <c r="I21" s="11">
        <v>1.41137035240153</v>
      </c>
    </row>
    <row r="22" spans="1:9">
      <c r="A22" s="6">
        <v>288000</v>
      </c>
      <c r="B22" s="6">
        <v>116</v>
      </c>
      <c r="C22" s="15">
        <v>2482.7586206896553</v>
      </c>
      <c r="D22" s="1" t="s">
        <v>168</v>
      </c>
      <c r="E22" s="1" t="s">
        <v>206</v>
      </c>
      <c r="F22" s="9" t="s">
        <v>207</v>
      </c>
      <c r="G22" s="1" t="s">
        <v>178</v>
      </c>
      <c r="H22" s="9" t="s">
        <v>164</v>
      </c>
      <c r="I22" s="11">
        <v>1.4122631517005999</v>
      </c>
    </row>
    <row r="23" spans="1:9">
      <c r="A23" s="6">
        <v>322000</v>
      </c>
      <c r="B23" s="6">
        <v>121</v>
      </c>
      <c r="C23" s="15">
        <v>2661.1570247933882</v>
      </c>
      <c r="D23" s="1" t="s">
        <v>244</v>
      </c>
      <c r="E23" s="1" t="s">
        <v>223</v>
      </c>
      <c r="F23" s="9" t="s">
        <v>209</v>
      </c>
      <c r="G23" s="2" t="s">
        <v>190</v>
      </c>
      <c r="H23" s="9" t="s">
        <v>253</v>
      </c>
      <c r="I23" s="11">
        <v>1.4200411018107699</v>
      </c>
    </row>
    <row r="24" spans="1:9">
      <c r="A24" s="6">
        <v>322000</v>
      </c>
      <c r="B24" s="6">
        <v>121</v>
      </c>
      <c r="C24" s="15">
        <v>2661.1570247933882</v>
      </c>
      <c r="D24" s="1" t="s">
        <v>244</v>
      </c>
      <c r="E24" s="1" t="s">
        <v>224</v>
      </c>
      <c r="F24" s="9" t="s">
        <v>209</v>
      </c>
      <c r="G24" s="1" t="s">
        <v>191</v>
      </c>
      <c r="H24" s="9" t="s">
        <v>253</v>
      </c>
      <c r="I24" s="11">
        <v>1.4200411018107699</v>
      </c>
    </row>
    <row r="25" spans="1:9">
      <c r="A25" s="6">
        <v>325000</v>
      </c>
      <c r="B25" s="6">
        <v>113</v>
      </c>
      <c r="C25" s="15">
        <v>2876.1061946902655</v>
      </c>
      <c r="D25" s="1" t="s">
        <v>154</v>
      </c>
      <c r="E25" s="1" t="s">
        <v>213</v>
      </c>
      <c r="F25" s="9" t="s">
        <v>214</v>
      </c>
      <c r="G25" s="1" t="s">
        <v>182</v>
      </c>
      <c r="H25" s="9" t="s">
        <v>241</v>
      </c>
      <c r="I25" s="11">
        <v>1.4902104635700899</v>
      </c>
    </row>
    <row r="26" spans="1:9">
      <c r="A26" s="6">
        <v>267000</v>
      </c>
      <c r="B26" s="6">
        <v>161</v>
      </c>
      <c r="C26" s="15">
        <v>1658.3850931677018</v>
      </c>
      <c r="D26" s="1" t="s">
        <v>238</v>
      </c>
      <c r="E26" s="1" t="s">
        <v>210</v>
      </c>
      <c r="F26" s="9" t="s">
        <v>205</v>
      </c>
      <c r="G26" s="1" t="s">
        <v>180</v>
      </c>
      <c r="H26" s="9" t="s">
        <v>252</v>
      </c>
      <c r="I26" s="11">
        <v>1.6038540552879099</v>
      </c>
    </row>
    <row r="27" spans="1:9">
      <c r="A27" s="6">
        <v>279000</v>
      </c>
      <c r="B27" s="6">
        <v>121</v>
      </c>
      <c r="C27" s="15">
        <v>2305.7851239669421</v>
      </c>
      <c r="D27" s="1" t="s">
        <v>244</v>
      </c>
      <c r="E27" s="1" t="s">
        <v>227</v>
      </c>
      <c r="F27" s="9" t="s">
        <v>212</v>
      </c>
      <c r="G27" s="1" t="s">
        <v>194</v>
      </c>
      <c r="H27" s="9" t="s">
        <v>254</v>
      </c>
      <c r="I27" s="11">
        <v>1.6991784259152101</v>
      </c>
    </row>
    <row r="28" spans="1:9">
      <c r="A28" s="6">
        <v>279000</v>
      </c>
      <c r="B28" s="6">
        <v>121</v>
      </c>
      <c r="C28" s="15">
        <v>2305.7851239669421</v>
      </c>
      <c r="D28" s="1" t="s">
        <v>244</v>
      </c>
      <c r="E28" s="1" t="s">
        <v>227</v>
      </c>
      <c r="F28" s="9" t="s">
        <v>212</v>
      </c>
      <c r="G28" s="1" t="s">
        <v>195</v>
      </c>
      <c r="H28" s="9" t="s">
        <v>254</v>
      </c>
      <c r="I28" s="11">
        <v>1.6991784259152101</v>
      </c>
    </row>
    <row r="31" spans="1:9">
      <c r="G31" s="2"/>
    </row>
    <row r="32" spans="1:9">
      <c r="G32" s="2"/>
    </row>
    <row r="35" spans="4:7">
      <c r="G35" s="2"/>
    </row>
    <row r="44" spans="4:7">
      <c r="D44" s="4"/>
    </row>
    <row r="52" spans="3:7">
      <c r="C52" s="16"/>
    </row>
    <row r="54" spans="3:7">
      <c r="G54" s="2"/>
    </row>
    <row r="55" spans="3:7">
      <c r="D55" s="4"/>
    </row>
    <row r="65" spans="7:7">
      <c r="G65" s="2"/>
    </row>
    <row r="75" spans="7:7">
      <c r="G75" s="2"/>
    </row>
    <row r="80" spans="7:7">
      <c r="G80" s="3"/>
    </row>
    <row r="102" spans="3:7">
      <c r="C102" s="16"/>
    </row>
    <row r="107" spans="3:7">
      <c r="G107" s="2"/>
    </row>
    <row r="108" spans="3:7">
      <c r="G108" s="2"/>
    </row>
  </sheetData>
  <autoFilter ref="A1:I101" xr:uid="{01E3A799-F893-4D1B-B952-E6D483D84822}">
    <sortState xmlns:xlrd2="http://schemas.microsoft.com/office/spreadsheetml/2017/richdata2" ref="A2:I101">
      <sortCondition ref="I1:I101"/>
    </sortState>
  </autoFilter>
  <conditionalFormatting sqref="I1:I1048576"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Kaarina, 18.05 10.22.23</vt:lpstr>
      <vt:lpstr>Turku, 18.05 10.32.18</vt:lpstr>
      <vt:lpstr>Lieto, 18.05 10.37.43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Kalle Tolonen</dc:creator>
  <cp:lastModifiedBy>Kalle Tolonen</cp:lastModifiedBy>
  <dcterms:created xsi:type="dcterms:W3CDTF">2022-05-04T11:37:22Z</dcterms:created>
  <dcterms:modified xsi:type="dcterms:W3CDTF">2022-05-18T12:34:31Z</dcterms:modified>
</cp:coreProperties>
</file>